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isDir\Dropbox\K0_Work\00_Elbeon\Elbeon_SkunkWorxx\UrineFlowmeter\Literature\"/>
    </mc:Choice>
  </mc:AlternateContent>
  <xr:revisionPtr revIDLastSave="0" documentId="13_ncr:1_{DBDA6557-10E2-48AF-8559-4BC0B535D76F}" xr6:coauthVersionLast="47" xr6:coauthVersionMax="47" xr10:uidLastSave="{00000000-0000-0000-0000-000000000000}"/>
  <bookViews>
    <workbookView xWindow="-120" yWindow="-120" windowWidth="25440" windowHeight="15270" activeTab="1" xr2:uid="{7EC856D5-80A3-4D2A-BB8F-42C4D6EE963E}"/>
  </bookViews>
  <sheets>
    <sheet name="RawData" sheetId="3" r:id="rId1"/>
    <sheet name="Resampl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2" l="1"/>
  <c r="T7" i="2"/>
  <c r="S7" i="2"/>
  <c r="Q7" i="2"/>
  <c r="P7" i="2"/>
  <c r="I2" i="2"/>
  <c r="N8" i="2" s="1"/>
  <c r="S8" i="2" s="1"/>
  <c r="Y8" i="2" l="1"/>
  <c r="V7" i="2"/>
  <c r="Z7" i="2" s="1"/>
  <c r="N9" i="2"/>
  <c r="Y9" i="2" s="1"/>
  <c r="P8" i="2"/>
  <c r="T8" i="2"/>
  <c r="Q8" i="2"/>
  <c r="P9" i="2" l="1"/>
  <c r="Q9" i="2"/>
  <c r="N10" i="2"/>
  <c r="Y10" i="2" s="1"/>
  <c r="S9" i="2"/>
  <c r="T9" i="2"/>
  <c r="V8" i="2"/>
  <c r="Z8" i="2" s="1"/>
  <c r="N11" i="2"/>
  <c r="Y11" i="2" s="1"/>
  <c r="P10" i="2" l="1"/>
  <c r="Q10" i="2"/>
  <c r="T10" i="2"/>
  <c r="V9" i="2"/>
  <c r="Z9" i="2" s="1"/>
  <c r="S10" i="2"/>
  <c r="N12" i="2"/>
  <c r="Y12" i="2" s="1"/>
  <c r="T11" i="2"/>
  <c r="S11" i="2"/>
  <c r="Q11" i="2"/>
  <c r="P11" i="2"/>
  <c r="V10" i="2" l="1"/>
  <c r="Z10" i="2" s="1"/>
  <c r="V11" i="2"/>
  <c r="Z11" i="2" s="1"/>
  <c r="N13" i="2"/>
  <c r="Y13" i="2" s="1"/>
  <c r="S12" i="2"/>
  <c r="Q12" i="2"/>
  <c r="P12" i="2"/>
  <c r="T12" i="2"/>
  <c r="V12" i="2" l="1"/>
  <c r="Z12" i="2" s="1"/>
  <c r="N14" i="2"/>
  <c r="Q13" i="2"/>
  <c r="S13" i="2"/>
  <c r="P13" i="2"/>
  <c r="T13" i="2"/>
  <c r="Y14" i="2" l="1"/>
  <c r="V13" i="2"/>
  <c r="Z13" i="2" s="1"/>
  <c r="N15" i="2"/>
  <c r="Y15" i="2" s="1"/>
  <c r="P14" i="2"/>
  <c r="T14" i="2"/>
  <c r="S14" i="2"/>
  <c r="Q14" i="2"/>
  <c r="V14" i="2" l="1"/>
  <c r="Z14" i="2" s="1"/>
  <c r="N16" i="2"/>
  <c r="Y16" i="2" s="1"/>
  <c r="T15" i="2"/>
  <c r="P15" i="2"/>
  <c r="S15" i="2"/>
  <c r="Q15" i="2"/>
  <c r="V15" i="2" l="1"/>
  <c r="Z15" i="2" s="1"/>
  <c r="N17" i="2"/>
  <c r="Y17" i="2" s="1"/>
  <c r="S16" i="2"/>
  <c r="P16" i="2"/>
  <c r="T16" i="2"/>
  <c r="Q16" i="2"/>
  <c r="V16" i="2" l="1"/>
  <c r="Z16" i="2" s="1"/>
  <c r="N18" i="2"/>
  <c r="Y18" i="2" s="1"/>
  <c r="Q17" i="2"/>
  <c r="S17" i="2"/>
  <c r="T17" i="2"/>
  <c r="P17" i="2"/>
  <c r="V17" i="2" l="1"/>
  <c r="Z17" i="2" s="1"/>
  <c r="N19" i="2"/>
  <c r="Y19" i="2" s="1"/>
  <c r="P18" i="2"/>
  <c r="T18" i="2"/>
  <c r="Q18" i="2"/>
  <c r="S18" i="2"/>
  <c r="V18" i="2" l="1"/>
  <c r="Z18" i="2" s="1"/>
  <c r="N20" i="2"/>
  <c r="Y20" i="2" s="1"/>
  <c r="T19" i="2"/>
  <c r="S19" i="2"/>
  <c r="Q19" i="2"/>
  <c r="P19" i="2"/>
  <c r="V19" i="2" l="1"/>
  <c r="Z19" i="2" s="1"/>
  <c r="N21" i="2"/>
  <c r="Y21" i="2" s="1"/>
  <c r="S20" i="2"/>
  <c r="Q20" i="2"/>
  <c r="P20" i="2"/>
  <c r="T20" i="2"/>
  <c r="V20" i="2" l="1"/>
  <c r="Z20" i="2" s="1"/>
  <c r="N22" i="2"/>
  <c r="Y22" i="2" s="1"/>
  <c r="Q21" i="2"/>
  <c r="P21" i="2"/>
  <c r="T21" i="2"/>
  <c r="S21" i="2"/>
  <c r="V21" i="2" l="1"/>
  <c r="Z21" i="2" s="1"/>
  <c r="N23" i="2"/>
  <c r="Y23" i="2" s="1"/>
  <c r="P22" i="2"/>
  <c r="T22" i="2"/>
  <c r="S22" i="2"/>
  <c r="Q22" i="2"/>
  <c r="V22" i="2" l="1"/>
  <c r="Z22" i="2" s="1"/>
  <c r="N24" i="2"/>
  <c r="Y24" i="2" s="1"/>
  <c r="Q23" i="2"/>
  <c r="T23" i="2"/>
  <c r="P23" i="2"/>
  <c r="S23" i="2"/>
  <c r="V23" i="2" l="1"/>
  <c r="Z23" i="2" s="1"/>
  <c r="N25" i="2"/>
  <c r="Y25" i="2" s="1"/>
  <c r="S24" i="2"/>
  <c r="P24" i="2"/>
  <c r="T24" i="2"/>
  <c r="Q24" i="2"/>
  <c r="V24" i="2" l="1"/>
  <c r="Z24" i="2" s="1"/>
  <c r="N26" i="2"/>
  <c r="Y26" i="2" s="1"/>
  <c r="S25" i="2"/>
  <c r="Q25" i="2"/>
  <c r="T25" i="2"/>
  <c r="P25" i="2"/>
  <c r="V25" i="2" l="1"/>
  <c r="Z25" i="2" s="1"/>
  <c r="N27" i="2"/>
  <c r="Y27" i="2" s="1"/>
  <c r="P26" i="2"/>
  <c r="T26" i="2"/>
  <c r="Q26" i="2"/>
  <c r="S26" i="2"/>
  <c r="V26" i="2" l="1"/>
  <c r="Z26" i="2" s="1"/>
  <c r="N28" i="2"/>
  <c r="Y28" i="2" s="1"/>
  <c r="T27" i="2"/>
  <c r="S27" i="2"/>
  <c r="Q27" i="2"/>
  <c r="P27" i="2"/>
  <c r="V27" i="2" l="1"/>
  <c r="Z27" i="2" s="1"/>
  <c r="N29" i="2"/>
  <c r="Y29" i="2" s="1"/>
  <c r="S28" i="2"/>
  <c r="Q28" i="2"/>
  <c r="P28" i="2"/>
  <c r="T28" i="2"/>
  <c r="V28" i="2" l="1"/>
  <c r="Z28" i="2" s="1"/>
  <c r="N30" i="2"/>
  <c r="Y30" i="2" s="1"/>
  <c r="Q29" i="2"/>
  <c r="S29" i="2"/>
  <c r="P29" i="2"/>
  <c r="T29" i="2"/>
  <c r="V29" i="2" l="1"/>
  <c r="Z29" i="2" s="1"/>
  <c r="N31" i="2"/>
  <c r="Y31" i="2" s="1"/>
  <c r="P30" i="2"/>
  <c r="T30" i="2"/>
  <c r="S30" i="2"/>
  <c r="Q30" i="2"/>
  <c r="V30" i="2" l="1"/>
  <c r="Z30" i="2" s="1"/>
  <c r="N32" i="2"/>
  <c r="Y32" i="2" s="1"/>
  <c r="T31" i="2"/>
  <c r="P31" i="2"/>
  <c r="Q31" i="2"/>
  <c r="S31" i="2"/>
  <c r="V31" i="2" l="1"/>
  <c r="Z31" i="2" s="1"/>
  <c r="N33" i="2"/>
  <c r="Y33" i="2" s="1"/>
  <c r="S32" i="2"/>
  <c r="P32" i="2"/>
  <c r="T32" i="2"/>
  <c r="Q32" i="2"/>
  <c r="V32" i="2" l="1"/>
  <c r="Z32" i="2" s="1"/>
  <c r="N34" i="2"/>
  <c r="Y34" i="2" s="1"/>
  <c r="Q33" i="2"/>
  <c r="T33" i="2"/>
  <c r="S33" i="2"/>
  <c r="P33" i="2"/>
  <c r="V33" i="2" l="1"/>
  <c r="Z33" i="2" s="1"/>
  <c r="N35" i="2"/>
  <c r="Y35" i="2" s="1"/>
  <c r="T34" i="2"/>
  <c r="Q34" i="2"/>
  <c r="S34" i="2"/>
  <c r="P34" i="2"/>
  <c r="V34" i="2" l="1"/>
  <c r="Z34" i="2" s="1"/>
  <c r="N36" i="2"/>
  <c r="Y36" i="2" s="1"/>
  <c r="T35" i="2"/>
  <c r="S35" i="2"/>
  <c r="Q35" i="2"/>
  <c r="P35" i="2"/>
  <c r="V35" i="2" l="1"/>
  <c r="Z35" i="2" s="1"/>
  <c r="N37" i="2"/>
  <c r="Y37" i="2" s="1"/>
  <c r="S36" i="2"/>
  <c r="P36" i="2"/>
  <c r="Q36" i="2"/>
  <c r="T36" i="2"/>
  <c r="V36" i="2" l="1"/>
  <c r="Z36" i="2" s="1"/>
  <c r="N38" i="2"/>
  <c r="Y38" i="2" s="1"/>
  <c r="Q37" i="2"/>
  <c r="P37" i="2"/>
  <c r="S37" i="2"/>
  <c r="T37" i="2"/>
  <c r="V37" i="2" l="1"/>
  <c r="Z37" i="2" s="1"/>
  <c r="N39" i="2"/>
  <c r="Y39" i="2" s="1"/>
  <c r="P38" i="2"/>
  <c r="T38" i="2"/>
  <c r="S38" i="2"/>
  <c r="Q38" i="2"/>
  <c r="V38" i="2" l="1"/>
  <c r="Z38" i="2" s="1"/>
  <c r="N40" i="2"/>
  <c r="Y40" i="2" s="1"/>
  <c r="T39" i="2"/>
  <c r="P39" i="2"/>
  <c r="S39" i="2"/>
  <c r="Q39" i="2"/>
  <c r="V39" i="2" l="1"/>
  <c r="Z39" i="2" s="1"/>
  <c r="N41" i="2"/>
  <c r="Y41" i="2" s="1"/>
  <c r="S40" i="2"/>
  <c r="P40" i="2"/>
  <c r="T40" i="2"/>
  <c r="Q40" i="2"/>
  <c r="V40" i="2" l="1"/>
  <c r="Z40" i="2" s="1"/>
  <c r="N42" i="2"/>
  <c r="Y42" i="2" s="1"/>
  <c r="Q41" i="2"/>
  <c r="T41" i="2"/>
  <c r="S41" i="2"/>
  <c r="P41" i="2"/>
  <c r="V41" i="2" l="1"/>
  <c r="Z41" i="2" s="1"/>
  <c r="N43" i="2"/>
  <c r="Y43" i="2" s="1"/>
  <c r="P42" i="2"/>
  <c r="T42" i="2"/>
  <c r="Q42" i="2"/>
  <c r="S42" i="2"/>
  <c r="V42" i="2" l="1"/>
  <c r="Z42" i="2" s="1"/>
  <c r="N44" i="2"/>
  <c r="Y44" i="2" s="1"/>
  <c r="T43" i="2"/>
  <c r="S43" i="2"/>
  <c r="Q43" i="2"/>
  <c r="P43" i="2"/>
  <c r="V43" i="2" l="1"/>
  <c r="Z43" i="2" s="1"/>
  <c r="N45" i="2"/>
  <c r="Y45" i="2" s="1"/>
  <c r="S44" i="2"/>
  <c r="Q44" i="2"/>
  <c r="T44" i="2"/>
  <c r="P44" i="2"/>
  <c r="V44" i="2" l="1"/>
  <c r="Z44" i="2" s="1"/>
  <c r="N46" i="2"/>
  <c r="Y46" i="2" s="1"/>
  <c r="Q45" i="2"/>
  <c r="S45" i="2"/>
  <c r="P45" i="2"/>
  <c r="T45" i="2"/>
  <c r="V45" i="2" l="1"/>
  <c r="Z45" i="2" s="1"/>
  <c r="N47" i="2"/>
  <c r="Y47" i="2" s="1"/>
  <c r="P46" i="2"/>
  <c r="T46" i="2"/>
  <c r="S46" i="2"/>
  <c r="Q46" i="2"/>
  <c r="V46" i="2" l="1"/>
  <c r="Z46" i="2" s="1"/>
  <c r="N48" i="2"/>
  <c r="Y48" i="2" s="1"/>
  <c r="T47" i="2"/>
  <c r="P47" i="2"/>
  <c r="S47" i="2"/>
  <c r="Q47" i="2"/>
  <c r="V47" i="2" l="1"/>
  <c r="Z47" i="2" s="1"/>
  <c r="N49" i="2"/>
  <c r="Y49" i="2" s="1"/>
  <c r="S48" i="2"/>
  <c r="P48" i="2"/>
  <c r="T48" i="2"/>
  <c r="Q48" i="2"/>
  <c r="V48" i="2" l="1"/>
  <c r="Z48" i="2" s="1"/>
  <c r="N50" i="2"/>
  <c r="Y50" i="2" s="1"/>
  <c r="Q49" i="2"/>
  <c r="T49" i="2"/>
  <c r="S49" i="2"/>
  <c r="P49" i="2"/>
  <c r="V49" i="2" l="1"/>
  <c r="Z49" i="2" s="1"/>
  <c r="N51" i="2"/>
  <c r="Y51" i="2" s="1"/>
  <c r="P50" i="2"/>
  <c r="T50" i="2"/>
  <c r="Q50" i="2"/>
  <c r="S50" i="2"/>
  <c r="V50" i="2" l="1"/>
  <c r="Z50" i="2" s="1"/>
  <c r="N52" i="2"/>
  <c r="Y52" i="2" s="1"/>
  <c r="T51" i="2"/>
  <c r="S51" i="2"/>
  <c r="Q51" i="2"/>
  <c r="P51" i="2"/>
  <c r="V51" i="2" l="1"/>
  <c r="Z51" i="2" s="1"/>
  <c r="N53" i="2"/>
  <c r="Y53" i="2" s="1"/>
  <c r="S52" i="2"/>
  <c r="Q52" i="2"/>
  <c r="P52" i="2"/>
  <c r="T52" i="2"/>
  <c r="V52" i="2" l="1"/>
  <c r="Z52" i="2" s="1"/>
  <c r="N54" i="2"/>
  <c r="Y54" i="2" s="1"/>
  <c r="Q53" i="2"/>
  <c r="P53" i="2"/>
  <c r="T53" i="2"/>
  <c r="S53" i="2"/>
  <c r="V53" i="2" l="1"/>
  <c r="Z53" i="2" s="1"/>
  <c r="N55" i="2"/>
  <c r="Y55" i="2" s="1"/>
  <c r="P54" i="2"/>
  <c r="T54" i="2"/>
  <c r="S54" i="2"/>
  <c r="Q54" i="2"/>
  <c r="V54" i="2" l="1"/>
  <c r="Z54" i="2" s="1"/>
  <c r="N56" i="2"/>
  <c r="Y56" i="2" s="1"/>
  <c r="Q55" i="2"/>
  <c r="T55" i="2"/>
  <c r="P55" i="2"/>
  <c r="S55" i="2"/>
  <c r="V55" i="2" l="1"/>
  <c r="Z55" i="2" s="1"/>
  <c r="N57" i="2"/>
  <c r="Y57" i="2" s="1"/>
  <c r="S56" i="2"/>
  <c r="P56" i="2"/>
  <c r="Q56" i="2"/>
  <c r="T56" i="2"/>
  <c r="V56" i="2" l="1"/>
  <c r="Z56" i="2" s="1"/>
  <c r="N58" i="2"/>
  <c r="Y58" i="2" s="1"/>
  <c r="Q57" i="2"/>
  <c r="T57" i="2"/>
  <c r="S57" i="2"/>
  <c r="P57" i="2"/>
  <c r="V57" i="2" l="1"/>
  <c r="Z57" i="2" s="1"/>
  <c r="N59" i="2"/>
  <c r="Y59" i="2" s="1"/>
  <c r="P58" i="2"/>
  <c r="T58" i="2"/>
  <c r="Q58" i="2"/>
  <c r="S58" i="2"/>
  <c r="V58" i="2" l="1"/>
  <c r="Z58" i="2" s="1"/>
  <c r="N60" i="2"/>
  <c r="Y60" i="2" s="1"/>
  <c r="T59" i="2"/>
  <c r="S59" i="2"/>
  <c r="Q59" i="2"/>
  <c r="P59" i="2"/>
  <c r="V59" i="2" l="1"/>
  <c r="Z59" i="2" s="1"/>
  <c r="N61" i="2"/>
  <c r="Y61" i="2" s="1"/>
  <c r="S60" i="2"/>
  <c r="Q60" i="2"/>
  <c r="P60" i="2"/>
  <c r="T60" i="2"/>
  <c r="V60" i="2" l="1"/>
  <c r="Z60" i="2" s="1"/>
  <c r="N62" i="2"/>
  <c r="Y62" i="2" s="1"/>
  <c r="Q61" i="2"/>
  <c r="P61" i="2"/>
  <c r="T61" i="2"/>
  <c r="S61" i="2"/>
  <c r="V61" i="2" l="1"/>
  <c r="Z61" i="2" s="1"/>
  <c r="N63" i="2"/>
  <c r="Y63" i="2" s="1"/>
  <c r="P62" i="2"/>
  <c r="T62" i="2"/>
  <c r="S62" i="2"/>
  <c r="Q62" i="2"/>
  <c r="V62" i="2" l="1"/>
  <c r="Z62" i="2" s="1"/>
  <c r="N64" i="2"/>
  <c r="Y64" i="2" s="1"/>
  <c r="T63" i="2"/>
  <c r="P63" i="2"/>
  <c r="Q63" i="2"/>
  <c r="S63" i="2"/>
  <c r="V63" i="2" l="1"/>
  <c r="Z63" i="2" s="1"/>
  <c r="N65" i="2"/>
  <c r="Y65" i="2" s="1"/>
  <c r="S64" i="2"/>
  <c r="P64" i="2"/>
  <c r="T64" i="2"/>
  <c r="Q64" i="2"/>
  <c r="V64" i="2" l="1"/>
  <c r="Z64" i="2" s="1"/>
  <c r="N66" i="2"/>
  <c r="Y66" i="2" s="1"/>
  <c r="Q65" i="2"/>
  <c r="T65" i="2"/>
  <c r="S65" i="2"/>
  <c r="P65" i="2"/>
  <c r="V65" i="2" l="1"/>
  <c r="Z65" i="2" s="1"/>
  <c r="N67" i="2"/>
  <c r="Y67" i="2" s="1"/>
  <c r="T66" i="2"/>
  <c r="Q66" i="2"/>
  <c r="S66" i="2"/>
  <c r="P66" i="2"/>
  <c r="V66" i="2" l="1"/>
  <c r="Z66" i="2" s="1"/>
  <c r="N68" i="2"/>
  <c r="Y68" i="2" s="1"/>
  <c r="T67" i="2"/>
  <c r="S67" i="2"/>
  <c r="Q67" i="2"/>
  <c r="P67" i="2"/>
  <c r="V67" i="2" l="1"/>
  <c r="Z67" i="2" s="1"/>
  <c r="N69" i="2"/>
  <c r="Y69" i="2" s="1"/>
  <c r="S68" i="2"/>
  <c r="Q68" i="2"/>
  <c r="P68" i="2"/>
  <c r="T68" i="2"/>
  <c r="V68" i="2" l="1"/>
  <c r="Z68" i="2" s="1"/>
  <c r="N70" i="2"/>
  <c r="Y70" i="2" s="1"/>
  <c r="Q69" i="2"/>
  <c r="P69" i="2"/>
  <c r="T69" i="2"/>
  <c r="S69" i="2"/>
  <c r="V69" i="2" l="1"/>
  <c r="Z69" i="2" s="1"/>
  <c r="N71" i="2"/>
  <c r="Y71" i="2" s="1"/>
  <c r="P70" i="2"/>
  <c r="T70" i="2"/>
  <c r="S70" i="2"/>
  <c r="Q70" i="2"/>
  <c r="V70" i="2" l="1"/>
  <c r="Z70" i="2" s="1"/>
  <c r="N72" i="2"/>
  <c r="Y72" i="2" s="1"/>
  <c r="T71" i="2"/>
  <c r="P71" i="2"/>
  <c r="S71" i="2"/>
  <c r="Q71" i="2"/>
  <c r="V71" i="2" l="1"/>
  <c r="Z71" i="2" s="1"/>
  <c r="N73" i="2"/>
  <c r="Y73" i="2" s="1"/>
  <c r="S72" i="2"/>
  <c r="P72" i="2"/>
  <c r="T72" i="2"/>
  <c r="Q72" i="2"/>
  <c r="V72" i="2" l="1"/>
  <c r="Z72" i="2" s="1"/>
  <c r="N74" i="2"/>
  <c r="Y74" i="2" s="1"/>
  <c r="Q73" i="2"/>
  <c r="T73" i="2"/>
  <c r="S73" i="2"/>
  <c r="P73" i="2"/>
  <c r="V73" i="2" l="1"/>
  <c r="Z73" i="2" s="1"/>
  <c r="N75" i="2"/>
  <c r="Y75" i="2" s="1"/>
  <c r="P74" i="2"/>
  <c r="T74" i="2"/>
  <c r="Q74" i="2"/>
  <c r="S74" i="2"/>
  <c r="V74" i="2" l="1"/>
  <c r="Z74" i="2" s="1"/>
  <c r="N76" i="2"/>
  <c r="Y76" i="2" s="1"/>
  <c r="T75" i="2"/>
  <c r="S75" i="2"/>
  <c r="Q75" i="2"/>
  <c r="P75" i="2"/>
  <c r="V75" i="2" l="1"/>
  <c r="Z75" i="2" s="1"/>
  <c r="N77" i="2"/>
  <c r="Y77" i="2" s="1"/>
  <c r="S76" i="2"/>
  <c r="P76" i="2"/>
  <c r="Q76" i="2"/>
  <c r="T76" i="2"/>
  <c r="V76" i="2" l="1"/>
  <c r="Z76" i="2" s="1"/>
  <c r="N78" i="2"/>
  <c r="Y78" i="2" s="1"/>
  <c r="Q77" i="2"/>
  <c r="P77" i="2"/>
  <c r="T77" i="2"/>
  <c r="S77" i="2"/>
  <c r="V77" i="2" l="1"/>
  <c r="Z77" i="2" s="1"/>
  <c r="N79" i="2"/>
  <c r="Y79" i="2" s="1"/>
  <c r="P78" i="2"/>
  <c r="T78" i="2"/>
  <c r="S78" i="2"/>
  <c r="Q78" i="2"/>
  <c r="V78" i="2" l="1"/>
  <c r="Z78" i="2" s="1"/>
  <c r="N80" i="2"/>
  <c r="T79" i="2"/>
  <c r="P79" i="2"/>
  <c r="S79" i="2"/>
  <c r="Q79" i="2"/>
  <c r="N81" i="2" l="1"/>
  <c r="Y80" i="2"/>
  <c r="V79" i="2"/>
  <c r="Z79" i="2" s="1"/>
  <c r="S80" i="2"/>
  <c r="P80" i="2"/>
  <c r="T80" i="2"/>
  <c r="Q80" i="2"/>
  <c r="P81" i="2" l="1"/>
  <c r="Y81" i="2"/>
  <c r="S81" i="2"/>
  <c r="Q81" i="2"/>
  <c r="N82" i="2"/>
  <c r="T81" i="2"/>
  <c r="V80" i="2"/>
  <c r="Z80" i="2" s="1"/>
  <c r="V81" i="2" l="1"/>
  <c r="Z81" i="2" s="1"/>
  <c r="P82" i="2"/>
  <c r="N83" i="2"/>
  <c r="Y82" i="2"/>
  <c r="T82" i="2"/>
  <c r="Q82" i="2"/>
  <c r="S82" i="2"/>
  <c r="V82" i="2" l="1"/>
  <c r="Z82" i="2" s="1"/>
  <c r="P83" i="2"/>
  <c r="N84" i="2"/>
  <c r="T83" i="2"/>
  <c r="Q83" i="2"/>
  <c r="Y83" i="2"/>
  <c r="S83" i="2"/>
  <c r="V83" i="2" l="1"/>
  <c r="Z83" i="2" s="1"/>
  <c r="P84" i="2"/>
  <c r="N85" i="2"/>
  <c r="S84" i="2"/>
  <c r="T84" i="2"/>
  <c r="Y84" i="2"/>
  <c r="Q84" i="2"/>
  <c r="V84" i="2" l="1"/>
  <c r="Z84" i="2" s="1"/>
  <c r="P85" i="2"/>
  <c r="S85" i="2"/>
  <c r="Y85" i="2"/>
  <c r="Q85" i="2"/>
  <c r="N86" i="2"/>
  <c r="T85" i="2"/>
  <c r="Q86" i="2" l="1"/>
  <c r="P86" i="2"/>
  <c r="N87" i="2"/>
  <c r="T86" i="2"/>
  <c r="S86" i="2"/>
  <c r="Y86" i="2"/>
  <c r="V85" i="2"/>
  <c r="Z85" i="2" s="1"/>
  <c r="V86" i="2" l="1"/>
  <c r="Z86" i="2" s="1"/>
  <c r="P87" i="2"/>
  <c r="N88" i="2"/>
  <c r="Y87" i="2"/>
  <c r="S87" i="2"/>
  <c r="Q87" i="2"/>
  <c r="T87" i="2"/>
  <c r="V87" i="2" l="1"/>
  <c r="Z87" i="2" s="1"/>
  <c r="P88" i="2"/>
  <c r="N89" i="2"/>
  <c r="T88" i="2"/>
  <c r="Y88" i="2"/>
  <c r="Q88" i="2"/>
  <c r="S88" i="2"/>
  <c r="V88" i="2" l="1"/>
  <c r="Z88" i="2" s="1"/>
  <c r="P89" i="2"/>
  <c r="Y89" i="2"/>
  <c r="N90" i="2"/>
  <c r="T89" i="2"/>
  <c r="Q89" i="2"/>
  <c r="S89" i="2"/>
  <c r="V89" i="2" l="1"/>
  <c r="Z89" i="2" s="1"/>
  <c r="S90" i="2"/>
  <c r="P90" i="2"/>
  <c r="Y90" i="2"/>
  <c r="N91" i="2"/>
  <c r="T90" i="2"/>
  <c r="Q90" i="2"/>
  <c r="P91" i="2" l="1"/>
  <c r="T91" i="2"/>
  <c r="Y91" i="2"/>
  <c r="N92" i="2"/>
  <c r="S91" i="2"/>
  <c r="Q91" i="2"/>
  <c r="V90" i="2"/>
  <c r="Z90" i="2" s="1"/>
  <c r="V91" i="2" l="1"/>
  <c r="Z91" i="2" s="1"/>
  <c r="Y92" i="2"/>
  <c r="P92" i="2"/>
  <c r="N93" i="2"/>
  <c r="T92" i="2"/>
  <c r="Q92" i="2"/>
  <c r="S92" i="2"/>
  <c r="V92" i="2" l="1"/>
  <c r="Z92" i="2" s="1"/>
  <c r="P93" i="2"/>
  <c r="Y93" i="2"/>
  <c r="N94" i="2"/>
  <c r="Q93" i="2"/>
  <c r="T93" i="2"/>
  <c r="S93" i="2"/>
  <c r="V93" i="2" l="1"/>
  <c r="Z93" i="2" s="1"/>
  <c r="P94" i="2"/>
  <c r="T94" i="2"/>
  <c r="Y94" i="2"/>
  <c r="N95" i="2"/>
  <c r="S94" i="2"/>
  <c r="Q94" i="2"/>
  <c r="V94" i="2" l="1"/>
  <c r="Z94" i="2" s="1"/>
  <c r="P95" i="2"/>
  <c r="T95" i="2"/>
  <c r="Y95" i="2"/>
  <c r="N96" i="2"/>
  <c r="Q95" i="2"/>
  <c r="S95" i="2"/>
  <c r="V95" i="2" l="1"/>
  <c r="Z95" i="2" s="1"/>
  <c r="P96" i="2"/>
  <c r="N97" i="2"/>
  <c r="T96" i="2"/>
  <c r="Y96" i="2"/>
  <c r="Q96" i="2"/>
  <c r="S96" i="2"/>
  <c r="V96" i="2" l="1"/>
  <c r="Z96" i="2" s="1"/>
  <c r="P97" i="2"/>
  <c r="Y97" i="2"/>
  <c r="N98" i="2"/>
  <c r="T97" i="2"/>
  <c r="S97" i="2"/>
  <c r="Q97" i="2"/>
  <c r="P98" i="2" l="1"/>
  <c r="N99" i="2"/>
  <c r="T98" i="2"/>
  <c r="Q98" i="2"/>
  <c r="Y98" i="2"/>
  <c r="S98" i="2"/>
  <c r="V97" i="2"/>
  <c r="Z97" i="2" s="1"/>
  <c r="V98" i="2" l="1"/>
  <c r="Z98" i="2" s="1"/>
  <c r="P99" i="2"/>
  <c r="N100" i="2"/>
  <c r="S99" i="2"/>
  <c r="Q99" i="2"/>
  <c r="T99" i="2"/>
  <c r="Y99" i="2"/>
  <c r="V99" i="2" l="1"/>
  <c r="Z99" i="2" s="1"/>
  <c r="Y100" i="2"/>
  <c r="S100" i="2"/>
  <c r="P100" i="2"/>
  <c r="N101" i="2"/>
  <c r="T100" i="2"/>
  <c r="Q100" i="2"/>
  <c r="V100" i="2" l="1"/>
  <c r="Z100" i="2" s="1"/>
  <c r="P101" i="2"/>
  <c r="N102" i="2"/>
  <c r="S101" i="2"/>
  <c r="T101" i="2"/>
  <c r="Y101" i="2"/>
  <c r="Q101" i="2"/>
  <c r="N103" i="2" l="1"/>
  <c r="P102" i="2"/>
  <c r="T102" i="2"/>
  <c r="Q102" i="2"/>
  <c r="Y102" i="2"/>
  <c r="S102" i="2"/>
  <c r="V101" i="2"/>
  <c r="Z101" i="2" s="1"/>
  <c r="V102" i="2" l="1"/>
  <c r="Z102" i="2" s="1"/>
  <c r="P103" i="2"/>
  <c r="S103" i="2"/>
  <c r="N104" i="2"/>
  <c r="T103" i="2"/>
  <c r="Y103" i="2"/>
  <c r="Q103" i="2"/>
  <c r="V103" i="2" l="1"/>
  <c r="Z103" i="2" s="1"/>
  <c r="P104" i="2"/>
  <c r="N105" i="2"/>
  <c r="S104" i="2"/>
  <c r="T104" i="2"/>
  <c r="Y104" i="2"/>
  <c r="Q104" i="2"/>
  <c r="P105" i="2" l="1"/>
  <c r="S105" i="2"/>
  <c r="N106" i="2"/>
  <c r="Q105" i="2"/>
  <c r="T105" i="2"/>
  <c r="Y105" i="2"/>
  <c r="V104" i="2"/>
  <c r="Z104" i="2" s="1"/>
  <c r="P106" i="2" l="1"/>
  <c r="S106" i="2"/>
  <c r="Q106" i="2"/>
  <c r="N107" i="2"/>
  <c r="Y106" i="2"/>
  <c r="T106" i="2"/>
  <c r="V105" i="2"/>
  <c r="Z105" i="2" s="1"/>
  <c r="S107" i="2" l="1"/>
  <c r="Q107" i="2"/>
  <c r="P107" i="2"/>
  <c r="Y107" i="2"/>
  <c r="N108" i="2"/>
  <c r="T107" i="2"/>
  <c r="V106" i="2"/>
  <c r="Z106" i="2" s="1"/>
  <c r="T108" i="2" l="1"/>
  <c r="P108" i="2"/>
  <c r="Y108" i="2"/>
  <c r="S108" i="2"/>
  <c r="Q108" i="2"/>
  <c r="N109" i="2"/>
  <c r="V107" i="2"/>
  <c r="Z107" i="2" s="1"/>
  <c r="P109" i="2" l="1"/>
  <c r="Y109" i="2"/>
  <c r="S109" i="2"/>
  <c r="N110" i="2"/>
  <c r="Q109" i="2"/>
  <c r="T109" i="2"/>
  <c r="V108" i="2"/>
  <c r="Z108" i="2" s="1"/>
  <c r="P110" i="2" l="1"/>
  <c r="N111" i="2"/>
  <c r="Y110" i="2"/>
  <c r="S110" i="2"/>
  <c r="Q110" i="2"/>
  <c r="T110" i="2"/>
  <c r="V109" i="2"/>
  <c r="Z109" i="2" s="1"/>
  <c r="N112" i="2" l="1"/>
  <c r="T111" i="2"/>
  <c r="Q111" i="2"/>
  <c r="P111" i="2"/>
  <c r="Y111" i="2"/>
  <c r="S111" i="2"/>
  <c r="V110" i="2"/>
  <c r="Z110" i="2" s="1"/>
  <c r="V111" i="2" l="1"/>
  <c r="Z111" i="2" s="1"/>
  <c r="P112" i="2"/>
  <c r="T112" i="2"/>
  <c r="Q112" i="2"/>
  <c r="N113" i="2"/>
  <c r="Y112" i="2"/>
  <c r="S112" i="2"/>
  <c r="V112" i="2" l="1"/>
  <c r="Z112" i="2" s="1"/>
  <c r="P113" i="2"/>
  <c r="Q113" i="2"/>
  <c r="N114" i="2"/>
  <c r="T113" i="2"/>
  <c r="Y113" i="2"/>
  <c r="S113" i="2"/>
  <c r="V113" i="2" l="1"/>
  <c r="Z113" i="2" s="1"/>
  <c r="Y114" i="2"/>
  <c r="Q114" i="2"/>
  <c r="P114" i="2"/>
  <c r="N115" i="2"/>
  <c r="T114" i="2"/>
  <c r="S114" i="2"/>
  <c r="V114" i="2" l="1"/>
  <c r="Z114" i="2" s="1"/>
  <c r="P115" i="2"/>
  <c r="Y115" i="2"/>
  <c r="S115" i="2"/>
  <c r="Q115" i="2"/>
  <c r="N116" i="2"/>
  <c r="T115" i="2"/>
  <c r="V115" i="2" l="1"/>
  <c r="Z115" i="2" s="1"/>
  <c r="P116" i="2"/>
  <c r="Q116" i="2"/>
  <c r="Y116" i="2"/>
  <c r="S116" i="2"/>
  <c r="N117" i="2"/>
  <c r="T116" i="2"/>
  <c r="N118" i="2" l="1"/>
  <c r="T117" i="2"/>
  <c r="Q117" i="2"/>
  <c r="P117" i="2"/>
  <c r="Y117" i="2"/>
  <c r="S117" i="2"/>
  <c r="V116" i="2"/>
  <c r="Z116" i="2" s="1"/>
  <c r="V117" i="2" l="1"/>
  <c r="Z117" i="2" s="1"/>
  <c r="N119" i="2"/>
  <c r="S118" i="2"/>
  <c r="Q118" i="2"/>
  <c r="P118" i="2"/>
  <c r="T118" i="2"/>
  <c r="Y118" i="2"/>
  <c r="V118" i="2" l="1"/>
  <c r="Z118" i="2" s="1"/>
  <c r="P119" i="2"/>
  <c r="N120" i="2"/>
  <c r="T119" i="2"/>
  <c r="Q119" i="2"/>
  <c r="Y119" i="2"/>
  <c r="S119" i="2"/>
  <c r="V119" i="2" l="1"/>
  <c r="Z119" i="2" s="1"/>
  <c r="Q120" i="2"/>
  <c r="N121" i="2"/>
  <c r="S120" i="2"/>
  <c r="P120" i="2"/>
  <c r="Y120" i="2"/>
  <c r="T120" i="2"/>
  <c r="V120" i="2" l="1"/>
  <c r="Z120" i="2" s="1"/>
  <c r="P121" i="2"/>
  <c r="Q121" i="2"/>
  <c r="T121" i="2"/>
  <c r="S121" i="2"/>
  <c r="Y121" i="2"/>
  <c r="N122" i="2"/>
  <c r="V121" i="2" l="1"/>
  <c r="Z121" i="2" s="1"/>
  <c r="Q122" i="2"/>
  <c r="P122" i="2"/>
  <c r="Y122" i="2"/>
  <c r="T122" i="2"/>
  <c r="S122" i="2"/>
  <c r="N123" i="2"/>
  <c r="V122" i="2" l="1"/>
  <c r="Z122" i="2" s="1"/>
  <c r="P123" i="2"/>
  <c r="T123" i="2"/>
  <c r="Y123" i="2"/>
  <c r="Q123" i="2"/>
  <c r="S123" i="2"/>
  <c r="N124" i="2"/>
  <c r="V123" i="2" l="1"/>
  <c r="Z123" i="2" s="1"/>
  <c r="P124" i="2"/>
  <c r="N125" i="2"/>
  <c r="Y124" i="2"/>
  <c r="Q124" i="2"/>
  <c r="T124" i="2"/>
  <c r="S124" i="2"/>
  <c r="V124" i="2" l="1"/>
  <c r="Z124" i="2" s="1"/>
  <c r="P125" i="2"/>
  <c r="T125" i="2"/>
  <c r="Y125" i="2"/>
  <c r="Q125" i="2"/>
  <c r="N126" i="2"/>
  <c r="S125" i="2"/>
  <c r="V125" i="2" l="1"/>
  <c r="Z125" i="2" s="1"/>
  <c r="P126" i="2"/>
  <c r="N127" i="2"/>
  <c r="S126" i="2"/>
  <c r="T126" i="2"/>
  <c r="Q126" i="2"/>
  <c r="Y126" i="2"/>
  <c r="V126" i="2" l="1"/>
  <c r="Z126" i="2" s="1"/>
  <c r="P127" i="2"/>
  <c r="S127" i="2"/>
  <c r="Q127" i="2"/>
  <c r="N128" i="2"/>
  <c r="T127" i="2"/>
  <c r="Y127" i="2"/>
  <c r="V127" i="2" l="1"/>
  <c r="Z127" i="2" s="1"/>
  <c r="S128" i="2"/>
  <c r="Y128" i="2"/>
  <c r="T128" i="2"/>
  <c r="P128" i="2"/>
  <c r="Q128" i="2"/>
  <c r="N129" i="2"/>
  <c r="P129" i="2" l="1"/>
  <c r="N130" i="2"/>
  <c r="T129" i="2"/>
  <c r="S129" i="2"/>
  <c r="Q129" i="2"/>
  <c r="Y129" i="2"/>
  <c r="V128" i="2"/>
  <c r="Z128" i="2" s="1"/>
  <c r="P130" i="2" l="1"/>
  <c r="T130" i="2"/>
  <c r="S130" i="2"/>
  <c r="Q130" i="2"/>
  <c r="N131" i="2"/>
  <c r="Y130" i="2"/>
  <c r="V129" i="2"/>
  <c r="Z129" i="2" s="1"/>
  <c r="V130" i="2" l="1"/>
  <c r="Z130" i="2" s="1"/>
  <c r="P131" i="2"/>
  <c r="Y131" i="2"/>
  <c r="T131" i="2"/>
  <c r="S131" i="2"/>
  <c r="Q131" i="2"/>
  <c r="N132" i="2"/>
  <c r="V131" i="2" l="1"/>
  <c r="Z131" i="2" s="1"/>
  <c r="P132" i="2"/>
  <c r="T132" i="2"/>
  <c r="S132" i="2"/>
  <c r="Y132" i="2"/>
  <c r="N133" i="2"/>
  <c r="Q132" i="2"/>
  <c r="V132" i="2" l="1"/>
  <c r="Z132" i="2" s="1"/>
  <c r="T133" i="2"/>
  <c r="P133" i="2"/>
  <c r="Y133" i="2"/>
  <c r="Q133" i="2"/>
  <c r="N134" i="2"/>
  <c r="S133" i="2"/>
  <c r="V133" i="2" l="1"/>
  <c r="Z133" i="2" s="1"/>
  <c r="N135" i="2"/>
  <c r="T134" i="2"/>
  <c r="Y134" i="2"/>
  <c r="Q134" i="2"/>
  <c r="S134" i="2"/>
  <c r="P134" i="2"/>
  <c r="T135" i="2" l="1"/>
  <c r="Y135" i="2"/>
  <c r="S135" i="2"/>
  <c r="Q135" i="2"/>
  <c r="P135" i="2"/>
  <c r="N136" i="2"/>
  <c r="V134" i="2"/>
  <c r="Z134" i="2" s="1"/>
  <c r="Q136" i="2" l="1"/>
  <c r="N137" i="2"/>
  <c r="S136" i="2"/>
  <c r="P136" i="2"/>
  <c r="Y136" i="2"/>
  <c r="T136" i="2"/>
  <c r="V135" i="2"/>
  <c r="Z135" i="2" s="1"/>
  <c r="V136" i="2" l="1"/>
  <c r="Z136" i="2" s="1"/>
  <c r="P137" i="2"/>
  <c r="N138" i="2"/>
  <c r="S137" i="2"/>
  <c r="Q137" i="2"/>
  <c r="Y137" i="2"/>
  <c r="T137" i="2"/>
  <c r="P138" i="2" l="1"/>
  <c r="T138" i="2"/>
  <c r="N139" i="2"/>
  <c r="S138" i="2"/>
  <c r="Q138" i="2"/>
  <c r="Y138" i="2"/>
  <c r="V137" i="2"/>
  <c r="Z137" i="2" s="1"/>
  <c r="V138" i="2" l="1"/>
  <c r="Z138" i="2" s="1"/>
  <c r="S139" i="2"/>
  <c r="N140" i="2"/>
  <c r="P139" i="2"/>
  <c r="T139" i="2"/>
  <c r="Q139" i="2"/>
  <c r="Y139" i="2"/>
  <c r="P140" i="2" l="1"/>
  <c r="S140" i="2"/>
  <c r="Q140" i="2"/>
  <c r="Y140" i="2"/>
  <c r="T140" i="2"/>
  <c r="N141" i="2"/>
  <c r="V139" i="2"/>
  <c r="Z139" i="2" s="1"/>
  <c r="V140" i="2" l="1"/>
  <c r="Z140" i="2" s="1"/>
  <c r="P141" i="2"/>
  <c r="N142" i="2"/>
  <c r="T141" i="2"/>
  <c r="S141" i="2"/>
  <c r="Y141" i="2"/>
  <c r="Q141" i="2"/>
  <c r="V141" i="2" l="1"/>
  <c r="Z141" i="2" s="1"/>
  <c r="P142" i="2"/>
  <c r="S142" i="2"/>
  <c r="Q142" i="2"/>
  <c r="Y142" i="2"/>
  <c r="T142" i="2"/>
  <c r="N143" i="2"/>
  <c r="Y143" i="2" l="1"/>
  <c r="T143" i="2"/>
  <c r="S143" i="2"/>
  <c r="Q143" i="2"/>
  <c r="P143" i="2"/>
  <c r="N144" i="2"/>
  <c r="V142" i="2"/>
  <c r="Z142" i="2" s="1"/>
  <c r="N145" i="2" l="1"/>
  <c r="Q144" i="2"/>
  <c r="Y144" i="2"/>
  <c r="T144" i="2"/>
  <c r="S144" i="2"/>
  <c r="P144" i="2"/>
  <c r="V143" i="2"/>
  <c r="Z143" i="2" s="1"/>
  <c r="V144" i="2" l="1"/>
  <c r="Z144" i="2" s="1"/>
  <c r="Q145" i="2"/>
  <c r="P145" i="2"/>
  <c r="N146" i="2"/>
  <c r="Y145" i="2"/>
  <c r="T145" i="2"/>
  <c r="S145" i="2"/>
  <c r="V145" i="2" l="1"/>
  <c r="Z145" i="2" s="1"/>
  <c r="P146" i="2"/>
  <c r="Y146" i="2"/>
  <c r="Q146" i="2"/>
  <c r="N147" i="2"/>
  <c r="T146" i="2"/>
  <c r="S146" i="2"/>
  <c r="V146" i="2" l="1"/>
  <c r="Z146" i="2" s="1"/>
  <c r="P147" i="2"/>
  <c r="Y147" i="2"/>
  <c r="T147" i="2"/>
  <c r="S147" i="2"/>
  <c r="Q147" i="2"/>
  <c r="N148" i="2"/>
  <c r="P148" i="2" l="1"/>
  <c r="T148" i="2"/>
  <c r="S148" i="2"/>
  <c r="N149" i="2"/>
  <c r="Y148" i="2"/>
  <c r="Q148" i="2"/>
  <c r="V147" i="2"/>
  <c r="Z147" i="2" s="1"/>
  <c r="V148" i="2" l="1"/>
  <c r="Z148" i="2" s="1"/>
  <c r="N150" i="2"/>
  <c r="T149" i="2"/>
  <c r="P149" i="2"/>
  <c r="S149" i="2"/>
  <c r="Q149" i="2"/>
  <c r="Y149" i="2"/>
  <c r="V149" i="2" l="1"/>
  <c r="Z149" i="2" s="1"/>
  <c r="N151" i="2"/>
  <c r="T150" i="2"/>
  <c r="Q150" i="2"/>
  <c r="P150" i="2"/>
  <c r="Y150" i="2"/>
  <c r="S150" i="2"/>
  <c r="V150" i="2" l="1"/>
  <c r="Z150" i="2" s="1"/>
  <c r="P151" i="2"/>
  <c r="N152" i="2"/>
  <c r="Y151" i="2"/>
  <c r="S151" i="2"/>
  <c r="T151" i="2"/>
  <c r="Q151" i="2"/>
  <c r="V151" i="2" l="1"/>
  <c r="Z151" i="2" s="1"/>
  <c r="P152" i="2"/>
  <c r="Y152" i="2"/>
  <c r="T152" i="2"/>
  <c r="Q152" i="2"/>
  <c r="N153" i="2"/>
  <c r="S152" i="2"/>
  <c r="V152" i="2" l="1"/>
  <c r="Z152" i="2" s="1"/>
  <c r="Y153" i="2"/>
  <c r="T153" i="2"/>
  <c r="N154" i="2"/>
  <c r="Q153" i="2"/>
  <c r="S153" i="2"/>
  <c r="P153" i="2"/>
  <c r="V153" i="2" l="1"/>
  <c r="Z153" i="2" s="1"/>
  <c r="T154" i="2"/>
  <c r="S154" i="2"/>
  <c r="P154" i="2"/>
  <c r="Q154" i="2"/>
  <c r="N155" i="2"/>
  <c r="Y154" i="2"/>
  <c r="N156" i="2" l="1"/>
  <c r="Y155" i="2"/>
  <c r="T155" i="2"/>
  <c r="Q155" i="2"/>
  <c r="S155" i="2"/>
  <c r="P155" i="2"/>
  <c r="V154" i="2"/>
  <c r="Z154" i="2" s="1"/>
  <c r="V155" i="2" l="1"/>
  <c r="Z155" i="2" s="1"/>
  <c r="N157" i="2"/>
  <c r="T156" i="2"/>
  <c r="Y156" i="2"/>
  <c r="S156" i="2"/>
  <c r="Q156" i="2"/>
  <c r="P156" i="2"/>
  <c r="V156" i="2" l="1"/>
  <c r="Z156" i="2" s="1"/>
  <c r="P157" i="2"/>
  <c r="N158" i="2"/>
  <c r="Q157" i="2"/>
  <c r="Y157" i="2"/>
  <c r="S157" i="2"/>
  <c r="T157" i="2"/>
  <c r="V157" i="2" l="1"/>
  <c r="Z157" i="2" s="1"/>
  <c r="P158" i="2"/>
  <c r="T158" i="2"/>
  <c r="N159" i="2"/>
  <c r="Y158" i="2"/>
  <c r="S158" i="2"/>
  <c r="Q158" i="2"/>
  <c r="V158" i="2" l="1"/>
  <c r="Z158" i="2" s="1"/>
  <c r="N160" i="2"/>
  <c r="Y159" i="2"/>
  <c r="T159" i="2"/>
  <c r="S159" i="2"/>
  <c r="Q159" i="2"/>
  <c r="P159" i="2"/>
  <c r="V159" i="2" l="1"/>
  <c r="Z159" i="2" s="1"/>
  <c r="N161" i="2"/>
  <c r="Y160" i="2"/>
  <c r="T160" i="2"/>
  <c r="Q160" i="2"/>
  <c r="S160" i="2"/>
  <c r="P160" i="2"/>
  <c r="V160" i="2" l="1"/>
  <c r="Z160" i="2" s="1"/>
  <c r="Y161" i="2"/>
  <c r="N162" i="2"/>
  <c r="T161" i="2"/>
  <c r="Q161" i="2"/>
  <c r="S161" i="2"/>
  <c r="P161" i="2"/>
  <c r="Y162" i="2" l="1"/>
  <c r="N163" i="2"/>
  <c r="T162" i="2"/>
  <c r="Q162" i="2"/>
  <c r="S162" i="2"/>
  <c r="P162" i="2"/>
  <c r="V161" i="2"/>
  <c r="Z161" i="2" s="1"/>
  <c r="V162" i="2" l="1"/>
  <c r="Z162" i="2" s="1"/>
  <c r="P163" i="2"/>
  <c r="N164" i="2"/>
  <c r="T163" i="2"/>
  <c r="Y163" i="2"/>
  <c r="S163" i="2"/>
  <c r="Q163" i="2"/>
  <c r="V163" i="2" l="1"/>
  <c r="Z163" i="2" s="1"/>
  <c r="N165" i="2"/>
  <c r="Y164" i="2"/>
  <c r="T164" i="2"/>
  <c r="S164" i="2"/>
  <c r="Q164" i="2"/>
  <c r="P164" i="2"/>
  <c r="V164" i="2" l="1"/>
  <c r="Z164" i="2" s="1"/>
  <c r="P165" i="2"/>
  <c r="N166" i="2"/>
  <c r="Y165" i="2"/>
  <c r="T165" i="2"/>
  <c r="S165" i="2"/>
  <c r="Q165" i="2"/>
  <c r="Q166" i="2" l="1"/>
  <c r="P166" i="2"/>
  <c r="Y166" i="2"/>
  <c r="N167" i="2"/>
  <c r="T166" i="2"/>
  <c r="S166" i="2"/>
  <c r="V165" i="2"/>
  <c r="Z165" i="2" s="1"/>
  <c r="V166" i="2" l="1"/>
  <c r="Z166" i="2" s="1"/>
  <c r="T167" i="2"/>
  <c r="S167" i="2"/>
  <c r="Q167" i="2"/>
  <c r="N168" i="2"/>
  <c r="P167" i="2"/>
  <c r="Y167" i="2"/>
  <c r="V167" i="2" l="1"/>
  <c r="Z167" i="2" s="1"/>
  <c r="T168" i="2"/>
  <c r="S168" i="2"/>
  <c r="P168" i="2"/>
  <c r="Y168" i="2"/>
  <c r="N169" i="2"/>
  <c r="Q168" i="2"/>
  <c r="V168" i="2" l="1"/>
  <c r="Z168" i="2" s="1"/>
  <c r="Y169" i="2"/>
  <c r="N170" i="2"/>
  <c r="T169" i="2"/>
  <c r="Q169" i="2"/>
  <c r="S169" i="2"/>
  <c r="P169" i="2"/>
  <c r="Y170" i="2" l="1"/>
  <c r="S170" i="2"/>
  <c r="P170" i="2"/>
  <c r="Q170" i="2"/>
  <c r="T170" i="2"/>
  <c r="N171" i="2"/>
  <c r="V169" i="2"/>
  <c r="Z169" i="2" s="1"/>
  <c r="N172" i="2" l="1"/>
  <c r="Q171" i="2"/>
  <c r="T171" i="2"/>
  <c r="P171" i="2"/>
  <c r="Y171" i="2"/>
  <c r="S171" i="2"/>
  <c r="V170" i="2"/>
  <c r="Z170" i="2" s="1"/>
  <c r="V171" i="2" l="1"/>
  <c r="Z171" i="2" s="1"/>
  <c r="Q172" i="2"/>
  <c r="N173" i="2"/>
  <c r="Y172" i="2"/>
  <c r="T172" i="2"/>
  <c r="S172" i="2"/>
  <c r="P172" i="2"/>
  <c r="V172" i="2" l="1"/>
  <c r="Z172" i="2" s="1"/>
  <c r="S173" i="2"/>
  <c r="Q173" i="2"/>
  <c r="P173" i="2"/>
  <c r="N174" i="2"/>
  <c r="T173" i="2"/>
  <c r="Y173" i="2"/>
  <c r="S174" i="2" l="1"/>
  <c r="P174" i="2"/>
  <c r="N175" i="2"/>
  <c r="Y174" i="2"/>
  <c r="Q174" i="2"/>
  <c r="T174" i="2"/>
  <c r="V173" i="2"/>
  <c r="Z173" i="2" s="1"/>
  <c r="S175" i="2" l="1"/>
  <c r="Q175" i="2"/>
  <c r="N176" i="2"/>
  <c r="Y175" i="2"/>
  <c r="T175" i="2"/>
  <c r="P175" i="2"/>
  <c r="V174" i="2"/>
  <c r="Z174" i="2" s="1"/>
  <c r="T176" i="2" l="1"/>
  <c r="S176" i="2"/>
  <c r="P176" i="2"/>
  <c r="N177" i="2"/>
  <c r="Q176" i="2"/>
  <c r="Y176" i="2"/>
  <c r="V175" i="2"/>
  <c r="Z175" i="2" s="1"/>
  <c r="Y177" i="2" l="1"/>
  <c r="T177" i="2"/>
  <c r="Q177" i="2"/>
  <c r="P177" i="2"/>
  <c r="S177" i="2"/>
  <c r="N178" i="2"/>
  <c r="V176" i="2"/>
  <c r="Z176" i="2" s="1"/>
  <c r="V177" i="2" l="1"/>
  <c r="Z177" i="2" s="1"/>
  <c r="N179" i="2"/>
  <c r="S178" i="2"/>
  <c r="T178" i="2"/>
  <c r="Y178" i="2"/>
  <c r="Q178" i="2"/>
  <c r="P178" i="2"/>
  <c r="V178" i="2" l="1"/>
  <c r="Z178" i="2" s="1"/>
  <c r="P179" i="2"/>
  <c r="T179" i="2"/>
  <c r="Q179" i="2"/>
  <c r="Y179" i="2"/>
  <c r="S179" i="2"/>
  <c r="N180" i="2"/>
  <c r="V179" i="2" l="1"/>
  <c r="Z179" i="2" s="1"/>
  <c r="P180" i="2"/>
  <c r="N181" i="2"/>
  <c r="Y180" i="2"/>
  <c r="T180" i="2"/>
  <c r="Q180" i="2"/>
  <c r="S180" i="2"/>
  <c r="V180" i="2" l="1"/>
  <c r="Z180" i="2" s="1"/>
  <c r="P181" i="2"/>
  <c r="N182" i="2"/>
  <c r="Y181" i="2"/>
  <c r="S181" i="2"/>
  <c r="Q181" i="2"/>
  <c r="T181" i="2"/>
  <c r="S182" i="2" l="1"/>
  <c r="Q182" i="2"/>
  <c r="P182" i="2"/>
  <c r="N183" i="2"/>
  <c r="Y182" i="2"/>
  <c r="T182" i="2"/>
  <c r="V181" i="2"/>
  <c r="Z181" i="2" s="1"/>
  <c r="T183" i="2" l="1"/>
  <c r="S183" i="2"/>
  <c r="N184" i="2"/>
  <c r="P183" i="2"/>
  <c r="Y183" i="2"/>
  <c r="Q183" i="2"/>
  <c r="V182" i="2"/>
  <c r="Z182" i="2" s="1"/>
  <c r="T184" i="2" l="1"/>
  <c r="S184" i="2"/>
  <c r="P184" i="2"/>
  <c r="N185" i="2"/>
  <c r="Q184" i="2"/>
  <c r="Y184" i="2"/>
  <c r="V183" i="2"/>
  <c r="Z183" i="2" s="1"/>
  <c r="V184" i="2" l="1"/>
  <c r="Z184" i="2" s="1"/>
  <c r="T185" i="2"/>
  <c r="Q185" i="2"/>
  <c r="P185" i="2"/>
  <c r="S185" i="2"/>
  <c r="N186" i="2"/>
  <c r="Y185" i="2"/>
  <c r="V185" i="2" l="1"/>
  <c r="Z185" i="2" s="1"/>
  <c r="S186" i="2"/>
  <c r="T186" i="2"/>
  <c r="P186" i="2"/>
  <c r="Q186" i="2"/>
  <c r="N187" i="2"/>
  <c r="Y186" i="2"/>
  <c r="N188" i="2" l="1"/>
  <c r="T187" i="2"/>
  <c r="Q187" i="2"/>
  <c r="S187" i="2"/>
  <c r="P187" i="2"/>
  <c r="Y187" i="2"/>
  <c r="V186" i="2"/>
  <c r="Z186" i="2" s="1"/>
  <c r="V187" i="2" l="1"/>
  <c r="Z187" i="2" s="1"/>
  <c r="P188" i="2"/>
  <c r="N189" i="2"/>
  <c r="Y188" i="2"/>
  <c r="S188" i="2"/>
  <c r="T188" i="2"/>
  <c r="Q188" i="2"/>
  <c r="S189" i="2" l="1"/>
  <c r="Q189" i="2"/>
  <c r="N190" i="2"/>
  <c r="Y189" i="2"/>
  <c r="P189" i="2"/>
  <c r="T189" i="2"/>
  <c r="V188" i="2"/>
  <c r="Z188" i="2" s="1"/>
  <c r="Q190" i="2" l="1"/>
  <c r="P190" i="2"/>
  <c r="S190" i="2"/>
  <c r="Y190" i="2"/>
  <c r="N191" i="2"/>
  <c r="T190" i="2"/>
  <c r="V189" i="2"/>
  <c r="Z189" i="2" s="1"/>
  <c r="V190" i="2" l="1"/>
  <c r="Z190" i="2" s="1"/>
  <c r="T191" i="2"/>
  <c r="S191" i="2"/>
  <c r="Q191" i="2"/>
  <c r="N192" i="2"/>
  <c r="Y191" i="2"/>
  <c r="P191" i="2"/>
  <c r="P192" i="2" l="1"/>
  <c r="N193" i="2"/>
  <c r="Y192" i="2"/>
  <c r="S192" i="2"/>
  <c r="Q192" i="2"/>
  <c r="T192" i="2"/>
  <c r="V191" i="2"/>
  <c r="Z191" i="2" s="1"/>
  <c r="V192" i="2" l="1"/>
  <c r="Z192" i="2" s="1"/>
  <c r="N194" i="2"/>
  <c r="Y193" i="2"/>
  <c r="T193" i="2"/>
  <c r="S193" i="2"/>
  <c r="Q193" i="2"/>
  <c r="P193" i="2"/>
  <c r="V193" i="2" l="1"/>
  <c r="Z193" i="2" s="1"/>
  <c r="Y194" i="2"/>
  <c r="S194" i="2"/>
  <c r="T194" i="2"/>
  <c r="P194" i="2"/>
  <c r="N195" i="2"/>
  <c r="Q194" i="2"/>
  <c r="V194" i="2" l="1"/>
  <c r="Z194" i="2" s="1"/>
  <c r="P195" i="2"/>
  <c r="Y195" i="2"/>
  <c r="T195" i="2"/>
  <c r="S195" i="2"/>
  <c r="Q195" i="2"/>
  <c r="N196" i="2"/>
  <c r="V195" i="2" l="1"/>
  <c r="Z195" i="2" s="1"/>
  <c r="S196" i="2"/>
  <c r="Q196" i="2"/>
  <c r="T196" i="2"/>
  <c r="P196" i="2"/>
  <c r="N197" i="2"/>
  <c r="Y196" i="2"/>
  <c r="T197" i="2" l="1"/>
  <c r="S197" i="2"/>
  <c r="P197" i="2"/>
  <c r="Q197" i="2"/>
  <c r="N198" i="2"/>
  <c r="Y197" i="2"/>
  <c r="V196" i="2"/>
  <c r="Z196" i="2" s="1"/>
  <c r="S198" i="2" l="1"/>
  <c r="T198" i="2"/>
  <c r="N199" i="2"/>
  <c r="Y198" i="2"/>
  <c r="P198" i="2"/>
  <c r="Q198" i="2"/>
  <c r="V197" i="2"/>
  <c r="Z197" i="2" s="1"/>
  <c r="Q199" i="2" l="1"/>
  <c r="N200" i="2"/>
  <c r="T199" i="2"/>
  <c r="P199" i="2"/>
  <c r="Y199" i="2"/>
  <c r="S199" i="2"/>
  <c r="V198" i="2"/>
  <c r="Z198" i="2" s="1"/>
  <c r="V199" i="2" l="1"/>
  <c r="Z199" i="2" s="1"/>
  <c r="Q200" i="2"/>
  <c r="T200" i="2"/>
  <c r="S200" i="2"/>
  <c r="P200" i="2"/>
  <c r="N201" i="2"/>
  <c r="Y200" i="2"/>
  <c r="Q201" i="2" l="1"/>
  <c r="Y201" i="2"/>
  <c r="T201" i="2"/>
  <c r="S201" i="2"/>
  <c r="P201" i="2"/>
  <c r="N202" i="2"/>
  <c r="V200" i="2"/>
  <c r="Z200" i="2" s="1"/>
  <c r="V201" i="2" l="1"/>
  <c r="Z201" i="2" s="1"/>
  <c r="N203" i="2"/>
  <c r="Y202" i="2"/>
  <c r="S202" i="2"/>
  <c r="P202" i="2"/>
  <c r="Q202" i="2"/>
  <c r="T202" i="2"/>
  <c r="V202" i="2" l="1"/>
  <c r="Z202" i="2" s="1"/>
  <c r="N204" i="2"/>
  <c r="P203" i="2"/>
  <c r="Y203" i="2"/>
  <c r="S203" i="2"/>
  <c r="T203" i="2"/>
  <c r="Q203" i="2"/>
  <c r="N205" i="2" l="1"/>
  <c r="Y204" i="2"/>
  <c r="T204" i="2"/>
  <c r="S204" i="2"/>
  <c r="Q204" i="2"/>
  <c r="P204" i="2"/>
  <c r="V203" i="2"/>
  <c r="Z203" i="2" s="1"/>
  <c r="V204" i="2" l="1"/>
  <c r="Z204" i="2" s="1"/>
  <c r="Q205" i="2"/>
  <c r="T205" i="2"/>
  <c r="N206" i="2"/>
  <c r="S205" i="2"/>
  <c r="Y205" i="2"/>
  <c r="P205" i="2"/>
  <c r="T206" i="2" l="1"/>
  <c r="P206" i="2"/>
  <c r="N207" i="2"/>
  <c r="S206" i="2"/>
  <c r="Y206" i="2"/>
  <c r="Q206" i="2"/>
  <c r="V205" i="2"/>
  <c r="Z205" i="2" s="1"/>
  <c r="Q207" i="2" l="1"/>
  <c r="P207" i="2"/>
  <c r="S207" i="2"/>
  <c r="N208" i="2"/>
  <c r="Y207" i="2"/>
  <c r="T207" i="2"/>
  <c r="V206" i="2"/>
  <c r="Z206" i="2" s="1"/>
  <c r="Q208" i="2" l="1"/>
  <c r="N209" i="2"/>
  <c r="P208" i="2"/>
  <c r="Y208" i="2"/>
  <c r="S208" i="2"/>
  <c r="T208" i="2"/>
  <c r="V207" i="2"/>
  <c r="Z207" i="2" s="1"/>
  <c r="V208" i="2" l="1"/>
  <c r="Z208" i="2" s="1"/>
  <c r="Q209" i="2"/>
  <c r="N210" i="2"/>
  <c r="S209" i="2"/>
  <c r="Y209" i="2"/>
  <c r="T209" i="2"/>
  <c r="P209" i="2"/>
  <c r="V209" i="2" l="1"/>
  <c r="Z209" i="2" s="1"/>
  <c r="S210" i="2"/>
  <c r="Q210" i="2"/>
  <c r="P210" i="2"/>
  <c r="Y210" i="2"/>
  <c r="T210" i="2"/>
  <c r="N211" i="2"/>
  <c r="S211" i="2" l="1"/>
  <c r="P211" i="2"/>
  <c r="Q211" i="2"/>
  <c r="T211" i="2"/>
  <c r="N212" i="2"/>
  <c r="Y211" i="2"/>
  <c r="V210" i="2"/>
  <c r="Z210" i="2" s="1"/>
  <c r="S212" i="2" l="1"/>
  <c r="Q212" i="2"/>
  <c r="N213" i="2"/>
  <c r="Y212" i="2"/>
  <c r="P212" i="2"/>
  <c r="T212" i="2"/>
  <c r="V211" i="2"/>
  <c r="Z211" i="2" s="1"/>
  <c r="T213" i="2" l="1"/>
  <c r="N214" i="2"/>
  <c r="S213" i="2"/>
  <c r="Y213" i="2"/>
  <c r="P213" i="2"/>
  <c r="Q213" i="2"/>
  <c r="V212" i="2"/>
  <c r="Z212" i="2" s="1"/>
  <c r="V213" i="2" l="1"/>
  <c r="Z213" i="2" s="1"/>
  <c r="S214" i="2"/>
  <c r="T214" i="2"/>
  <c r="Q214" i="2"/>
  <c r="P214" i="2"/>
  <c r="N215" i="2"/>
  <c r="Y214" i="2"/>
  <c r="S215" i="2" l="1"/>
  <c r="Q215" i="2"/>
  <c r="N216" i="2"/>
  <c r="P215" i="2"/>
  <c r="Y215" i="2"/>
  <c r="T215" i="2"/>
  <c r="V214" i="2"/>
  <c r="Z214" i="2" s="1"/>
  <c r="S216" i="2" l="1"/>
  <c r="Q216" i="2"/>
  <c r="N217" i="2"/>
  <c r="Y216" i="2"/>
  <c r="P216" i="2"/>
  <c r="T216" i="2"/>
  <c r="V215" i="2"/>
  <c r="Z215" i="2" s="1"/>
  <c r="S217" i="2" l="1"/>
  <c r="Q217" i="2"/>
  <c r="N218" i="2"/>
  <c r="T217" i="2"/>
  <c r="P217" i="2"/>
  <c r="Y217" i="2"/>
  <c r="V216" i="2"/>
  <c r="Z216" i="2" s="1"/>
  <c r="Q218" i="2" l="1"/>
  <c r="P218" i="2"/>
  <c r="N219" i="2"/>
  <c r="T218" i="2"/>
  <c r="S218" i="2"/>
  <c r="Y218" i="2"/>
  <c r="V217" i="2"/>
  <c r="Z217" i="2" s="1"/>
  <c r="V218" i="2" l="1"/>
  <c r="Z218" i="2" s="1"/>
  <c r="S219" i="2"/>
  <c r="N220" i="2"/>
  <c r="Q219" i="2"/>
  <c r="Y219" i="2"/>
  <c r="P219" i="2"/>
  <c r="T219" i="2"/>
  <c r="V219" i="2" l="1"/>
  <c r="Z219" i="2" s="1"/>
  <c r="T220" i="2"/>
  <c r="S220" i="2"/>
  <c r="Q220" i="2"/>
  <c r="N221" i="2"/>
  <c r="Y220" i="2"/>
  <c r="P220" i="2"/>
  <c r="S221" i="2" l="1"/>
  <c r="Q221" i="2"/>
  <c r="T221" i="2"/>
  <c r="N222" i="2"/>
  <c r="Y221" i="2"/>
  <c r="P221" i="2"/>
  <c r="V220" i="2"/>
  <c r="Z220" i="2" s="1"/>
  <c r="S222" i="2" l="1"/>
  <c r="N223" i="2"/>
  <c r="Y222" i="2"/>
  <c r="Q222" i="2"/>
  <c r="P222" i="2"/>
  <c r="T222" i="2"/>
  <c r="V221" i="2"/>
  <c r="Z221" i="2" s="1"/>
  <c r="Q223" i="2" l="1"/>
  <c r="Y223" i="2"/>
  <c r="N224" i="2"/>
  <c r="T223" i="2"/>
  <c r="S223" i="2"/>
  <c r="P223" i="2"/>
  <c r="V222" i="2"/>
  <c r="Z222" i="2" s="1"/>
  <c r="T224" i="2" l="1"/>
  <c r="S224" i="2"/>
  <c r="P224" i="2"/>
  <c r="Y224" i="2"/>
  <c r="Q224" i="2"/>
  <c r="N225" i="2"/>
  <c r="V223" i="2"/>
  <c r="Z223" i="2" s="1"/>
  <c r="S225" i="2" l="1"/>
  <c r="Q225" i="2"/>
  <c r="N226" i="2"/>
  <c r="Y225" i="2"/>
  <c r="P225" i="2"/>
  <c r="T225" i="2"/>
  <c r="V224" i="2"/>
  <c r="Z224" i="2" s="1"/>
  <c r="S226" i="2" l="1"/>
  <c r="N227" i="2"/>
  <c r="Y226" i="2"/>
  <c r="P226" i="2"/>
  <c r="Q226" i="2"/>
  <c r="T226" i="2"/>
  <c r="V225" i="2"/>
  <c r="Z225" i="2" s="1"/>
  <c r="S227" i="2" l="1"/>
  <c r="T227" i="2"/>
  <c r="Q227" i="2"/>
  <c r="N228" i="2"/>
  <c r="Y227" i="2"/>
  <c r="P227" i="2"/>
  <c r="V226" i="2"/>
  <c r="Z226" i="2" s="1"/>
  <c r="Q228" i="2" l="1"/>
  <c r="N229" i="2"/>
  <c r="Y228" i="2"/>
  <c r="T228" i="2"/>
  <c r="P228" i="2"/>
  <c r="S228" i="2"/>
  <c r="V227" i="2"/>
  <c r="Z227" i="2" s="1"/>
  <c r="V228" i="2" l="1"/>
  <c r="Z228" i="2" s="1"/>
  <c r="T229" i="2"/>
  <c r="S229" i="2"/>
  <c r="Q229" i="2"/>
  <c r="N230" i="2"/>
  <c r="Y229" i="2"/>
  <c r="P229" i="2"/>
  <c r="V229" i="2" l="1"/>
  <c r="Z229" i="2" s="1"/>
  <c r="N231" i="2"/>
  <c r="Y230" i="2"/>
  <c r="P230" i="2"/>
  <c r="S230" i="2"/>
  <c r="T230" i="2"/>
  <c r="Q230" i="2"/>
  <c r="T231" i="2" l="1"/>
  <c r="S231" i="2"/>
  <c r="Y231" i="2"/>
  <c r="Q231" i="2"/>
  <c r="N232" i="2"/>
  <c r="P231" i="2"/>
  <c r="V230" i="2"/>
  <c r="Z230" i="2" s="1"/>
  <c r="S232" i="2" l="1"/>
  <c r="Q232" i="2"/>
  <c r="P232" i="2"/>
  <c r="Y232" i="2"/>
  <c r="N233" i="2"/>
  <c r="T232" i="2"/>
  <c r="V231" i="2"/>
  <c r="Z231" i="2" s="1"/>
  <c r="Q233" i="2" l="1"/>
  <c r="N234" i="2"/>
  <c r="T233" i="2"/>
  <c r="Y233" i="2"/>
  <c r="P233" i="2"/>
  <c r="S233" i="2"/>
  <c r="V232" i="2"/>
  <c r="Z232" i="2" s="1"/>
  <c r="V233" i="2" l="1"/>
  <c r="Z233" i="2" s="1"/>
  <c r="T234" i="2"/>
  <c r="S234" i="2"/>
  <c r="Q234" i="2"/>
  <c r="Y234" i="2"/>
  <c r="N235" i="2"/>
  <c r="P234" i="2"/>
  <c r="S235" i="2" l="1"/>
  <c r="N236" i="2"/>
  <c r="Q235" i="2"/>
  <c r="Y235" i="2"/>
  <c r="P235" i="2"/>
  <c r="T235" i="2"/>
  <c r="V234" i="2"/>
  <c r="Z234" i="2" s="1"/>
  <c r="Q236" i="2" l="1"/>
  <c r="N237" i="2"/>
  <c r="P236" i="2"/>
  <c r="T236" i="2"/>
  <c r="S236" i="2"/>
  <c r="Y236" i="2"/>
  <c r="V235" i="2"/>
  <c r="Z235" i="2" s="1"/>
  <c r="V236" i="2" l="1"/>
  <c r="Z236" i="2" s="1"/>
  <c r="S237" i="2"/>
  <c r="Q237" i="2"/>
  <c r="N238" i="2"/>
  <c r="Y237" i="2"/>
  <c r="P237" i="2"/>
  <c r="T237" i="2"/>
  <c r="S238" i="2" l="1"/>
  <c r="Q238" i="2"/>
  <c r="N239" i="2"/>
  <c r="P238" i="2"/>
  <c r="Y238" i="2"/>
  <c r="T238" i="2"/>
  <c r="V237" i="2"/>
  <c r="Z237" i="2" s="1"/>
  <c r="S239" i="2" l="1"/>
  <c r="Q239" i="2"/>
  <c r="N240" i="2"/>
  <c r="Y239" i="2"/>
  <c r="T239" i="2"/>
  <c r="P239" i="2"/>
  <c r="V238" i="2"/>
  <c r="Z238" i="2" s="1"/>
  <c r="S240" i="2" l="1"/>
  <c r="Q240" i="2"/>
  <c r="N241" i="2"/>
  <c r="P240" i="2"/>
  <c r="Y240" i="2"/>
  <c r="T240" i="2"/>
  <c r="V239" i="2"/>
  <c r="Z239" i="2" s="1"/>
  <c r="V240" i="2" l="1"/>
  <c r="Z240" i="2" s="1"/>
  <c r="S241" i="2"/>
  <c r="Q241" i="2"/>
  <c r="N242" i="2"/>
  <c r="Y241" i="2"/>
  <c r="P241" i="2"/>
  <c r="T241" i="2"/>
  <c r="N243" i="2" l="1"/>
  <c r="Y242" i="2"/>
  <c r="T242" i="2"/>
  <c r="P242" i="2"/>
  <c r="S242" i="2"/>
  <c r="Q242" i="2"/>
  <c r="V241" i="2"/>
  <c r="Z241" i="2" s="1"/>
  <c r="V242" i="2" l="1"/>
  <c r="Z242" i="2" s="1"/>
  <c r="P243" i="2"/>
  <c r="S243" i="2"/>
  <c r="N244" i="2"/>
  <c r="Y243" i="2"/>
  <c r="Q243" i="2"/>
  <c r="T243" i="2"/>
  <c r="N245" i="2" l="1"/>
  <c r="T244" i="2"/>
  <c r="S244" i="2"/>
  <c r="Q244" i="2"/>
  <c r="Y244" i="2"/>
  <c r="P244" i="2"/>
  <c r="V243" i="2"/>
  <c r="Z243" i="2" s="1"/>
  <c r="V244" i="2" l="1"/>
  <c r="Z244" i="2" s="1"/>
  <c r="T245" i="2"/>
  <c r="N246" i="2"/>
  <c r="S245" i="2"/>
  <c r="Q245" i="2"/>
  <c r="Y245" i="2"/>
  <c r="P245" i="2"/>
  <c r="P246" i="2" l="1"/>
  <c r="Q246" i="2"/>
  <c r="N247" i="2"/>
  <c r="Y246" i="2"/>
  <c r="T246" i="2"/>
  <c r="S246" i="2"/>
  <c r="V245" i="2"/>
  <c r="Z245" i="2" s="1"/>
  <c r="V246" i="2" l="1"/>
  <c r="Z246" i="2" s="1"/>
  <c r="N248" i="2"/>
  <c r="Y247" i="2"/>
  <c r="S247" i="2"/>
  <c r="T247" i="2"/>
  <c r="Q247" i="2"/>
  <c r="P247" i="2"/>
  <c r="V247" i="2" l="1"/>
  <c r="Z247" i="2" s="1"/>
  <c r="N249" i="2"/>
  <c r="P248" i="2"/>
  <c r="Q248" i="2"/>
  <c r="T248" i="2"/>
  <c r="S248" i="2"/>
  <c r="Y248" i="2"/>
  <c r="V248" i="2" l="1"/>
  <c r="Z248" i="2" s="1"/>
  <c r="N250" i="2"/>
  <c r="T249" i="2"/>
  <c r="Q249" i="2"/>
  <c r="Y249" i="2"/>
  <c r="P249" i="2"/>
  <c r="S249" i="2"/>
  <c r="V249" i="2" l="1"/>
  <c r="Z249" i="2" s="1"/>
  <c r="Y250" i="2"/>
  <c r="T250" i="2"/>
  <c r="N251" i="2"/>
  <c r="Q250" i="2"/>
  <c r="S250" i="2"/>
  <c r="P250" i="2"/>
  <c r="V250" i="2" l="1"/>
  <c r="Z250" i="2" s="1"/>
  <c r="P251" i="2"/>
  <c r="N252" i="2"/>
  <c r="S251" i="2"/>
  <c r="T251" i="2"/>
  <c r="Q251" i="2"/>
  <c r="Y251" i="2"/>
  <c r="N253" i="2" l="1"/>
  <c r="S252" i="2"/>
  <c r="Y252" i="2"/>
  <c r="Q252" i="2"/>
  <c r="T252" i="2"/>
  <c r="P252" i="2"/>
  <c r="V251" i="2"/>
  <c r="Z251" i="2" s="1"/>
  <c r="V252" i="2" l="1"/>
  <c r="Z252" i="2" s="1"/>
  <c r="N254" i="2"/>
  <c r="T253" i="2"/>
  <c r="Q253" i="2"/>
  <c r="Y253" i="2"/>
  <c r="S253" i="2"/>
  <c r="P253" i="2"/>
  <c r="N255" i="2" l="1"/>
  <c r="Y254" i="2"/>
  <c r="S254" i="2"/>
  <c r="Q254" i="2"/>
  <c r="T254" i="2"/>
  <c r="P254" i="2"/>
  <c r="V253" i="2"/>
  <c r="Z253" i="2" s="1"/>
  <c r="V254" i="2" l="1"/>
  <c r="Z254" i="2" s="1"/>
  <c r="N256" i="2"/>
  <c r="Y255" i="2"/>
  <c r="S255" i="2"/>
  <c r="P255" i="2"/>
  <c r="Q255" i="2"/>
  <c r="T255" i="2"/>
  <c r="P256" i="2" l="1"/>
  <c r="N257" i="2"/>
  <c r="S256" i="2"/>
  <c r="T256" i="2"/>
  <c r="Y256" i="2"/>
  <c r="Q256" i="2"/>
  <c r="V255" i="2"/>
  <c r="Z255" i="2" s="1"/>
  <c r="V256" i="2" l="1"/>
  <c r="Z256" i="2" s="1"/>
  <c r="N258" i="2"/>
  <c r="T257" i="2"/>
  <c r="S257" i="2"/>
  <c r="Q257" i="2"/>
  <c r="Y257" i="2"/>
  <c r="P257" i="2"/>
  <c r="N259" i="2" l="1"/>
  <c r="Y258" i="2"/>
  <c r="T258" i="2"/>
  <c r="S258" i="2"/>
  <c r="Q258" i="2"/>
  <c r="P258" i="2"/>
  <c r="V257" i="2"/>
  <c r="Z257" i="2" s="1"/>
  <c r="V258" i="2" l="1"/>
  <c r="Z258" i="2" s="1"/>
  <c r="P259" i="2"/>
  <c r="N260" i="2"/>
  <c r="Y259" i="2"/>
  <c r="S259" i="2"/>
  <c r="Q259" i="2"/>
  <c r="T259" i="2"/>
  <c r="N261" i="2" l="1"/>
  <c r="P260" i="2"/>
  <c r="Y260" i="2"/>
  <c r="S260" i="2"/>
  <c r="Q260" i="2"/>
  <c r="T260" i="2"/>
  <c r="V259" i="2"/>
  <c r="Z259" i="2" s="1"/>
  <c r="V260" i="2" l="1"/>
  <c r="Z260" i="2" s="1"/>
  <c r="P261" i="2"/>
  <c r="Y261" i="2"/>
  <c r="T261" i="2"/>
  <c r="N262" i="2"/>
  <c r="S261" i="2"/>
  <c r="Q261" i="2"/>
  <c r="N263" i="2" l="1"/>
  <c r="Y262" i="2"/>
  <c r="T262" i="2"/>
  <c r="S262" i="2"/>
  <c r="P262" i="2"/>
  <c r="Q262" i="2"/>
  <c r="V261" i="2"/>
  <c r="Z261" i="2" s="1"/>
  <c r="V262" i="2" l="1"/>
  <c r="Z262" i="2" s="1"/>
  <c r="N264" i="2"/>
  <c r="Y263" i="2"/>
  <c r="T263" i="2"/>
  <c r="S263" i="2"/>
  <c r="Q263" i="2"/>
  <c r="P263" i="2"/>
  <c r="V263" i="2" l="1"/>
  <c r="Z263" i="2" s="1"/>
  <c r="P264" i="2"/>
  <c r="N265" i="2"/>
  <c r="Y264" i="2"/>
  <c r="T264" i="2"/>
  <c r="Q264" i="2"/>
  <c r="S264" i="2"/>
  <c r="V264" i="2" l="1"/>
  <c r="Z264" i="2" s="1"/>
  <c r="N266" i="2"/>
  <c r="P265" i="2"/>
  <c r="Y265" i="2"/>
  <c r="T265" i="2"/>
  <c r="S265" i="2"/>
  <c r="Q265" i="2"/>
  <c r="V265" i="2" l="1"/>
  <c r="Z265" i="2" s="1"/>
  <c r="N267" i="2"/>
  <c r="Y266" i="2"/>
  <c r="T266" i="2"/>
  <c r="S266" i="2"/>
  <c r="Q266" i="2"/>
  <c r="P266" i="2"/>
  <c r="V266" i="2" l="1"/>
  <c r="Z266" i="2" s="1"/>
  <c r="P267" i="2"/>
  <c r="N268" i="2"/>
  <c r="Y267" i="2"/>
  <c r="S267" i="2"/>
  <c r="T267" i="2"/>
  <c r="Q267" i="2"/>
  <c r="V267" i="2" l="1"/>
  <c r="Z267" i="2" s="1"/>
  <c r="N269" i="2"/>
  <c r="Q268" i="2"/>
  <c r="T268" i="2"/>
  <c r="P268" i="2"/>
  <c r="Y268" i="2"/>
  <c r="S268" i="2"/>
  <c r="V268" i="2" l="1"/>
  <c r="Z268" i="2" s="1"/>
  <c r="N270" i="2"/>
  <c r="T269" i="2"/>
  <c r="S269" i="2"/>
  <c r="Y269" i="2"/>
  <c r="Q269" i="2"/>
  <c r="P269" i="2"/>
  <c r="V269" i="2" l="1"/>
  <c r="Z269" i="2" s="1"/>
  <c r="N271" i="2"/>
  <c r="S270" i="2"/>
  <c r="Y270" i="2"/>
  <c r="T270" i="2"/>
  <c r="Q270" i="2"/>
  <c r="P270" i="2"/>
  <c r="V270" i="2" l="1"/>
  <c r="Z270" i="2" s="1"/>
  <c r="Y271" i="2"/>
  <c r="T271" i="2"/>
  <c r="P271" i="2"/>
  <c r="S271" i="2"/>
  <c r="Q271" i="2"/>
  <c r="N272" i="2"/>
  <c r="V271" i="2" l="1"/>
  <c r="Z271" i="2" s="1"/>
  <c r="N273" i="2"/>
  <c r="T272" i="2"/>
  <c r="Q272" i="2"/>
  <c r="P272" i="2"/>
  <c r="Y272" i="2"/>
  <c r="S272" i="2"/>
  <c r="V272" i="2" l="1"/>
  <c r="Z272" i="2" s="1"/>
  <c r="N274" i="2"/>
  <c r="Y273" i="2"/>
  <c r="Q273" i="2"/>
  <c r="T273" i="2"/>
  <c r="S273" i="2"/>
  <c r="P273" i="2"/>
  <c r="V273" i="2" l="1"/>
  <c r="Z273" i="2" s="1"/>
  <c r="Y274" i="2"/>
  <c r="T274" i="2"/>
  <c r="S274" i="2"/>
  <c r="P274" i="2"/>
  <c r="N275" i="2"/>
  <c r="Q274" i="2"/>
  <c r="N276" i="2" l="1"/>
  <c r="T275" i="2"/>
  <c r="S275" i="2"/>
  <c r="Y275" i="2"/>
  <c r="Q275" i="2"/>
  <c r="P275" i="2"/>
  <c r="V274" i="2"/>
  <c r="Z274" i="2" s="1"/>
  <c r="V275" i="2" l="1"/>
  <c r="Z275" i="2" s="1"/>
  <c r="N277" i="2"/>
  <c r="Q276" i="2"/>
  <c r="P276" i="2"/>
  <c r="Y276" i="2"/>
  <c r="T276" i="2"/>
  <c r="S276" i="2"/>
  <c r="V276" i="2" l="1"/>
  <c r="Z276" i="2" s="1"/>
  <c r="P277" i="2"/>
  <c r="N278" i="2"/>
  <c r="S277" i="2"/>
  <c r="Y277" i="2"/>
  <c r="T277" i="2"/>
  <c r="Q277" i="2"/>
  <c r="P278" i="2" l="1"/>
  <c r="N279" i="2"/>
  <c r="Y278" i="2"/>
  <c r="T278" i="2"/>
  <c r="S278" i="2"/>
  <c r="Q278" i="2"/>
  <c r="V277" i="2"/>
  <c r="Z277" i="2" s="1"/>
  <c r="P279" i="2" l="1"/>
  <c r="N280" i="2"/>
  <c r="T279" i="2"/>
  <c r="Y279" i="2"/>
  <c r="S279" i="2"/>
  <c r="Q279" i="2"/>
  <c r="V278" i="2"/>
  <c r="Z278" i="2" s="1"/>
  <c r="Q280" i="2" l="1"/>
  <c r="T280" i="2"/>
  <c r="S280" i="2"/>
  <c r="P280" i="2"/>
  <c r="N281" i="2"/>
  <c r="Y280" i="2"/>
  <c r="V279" i="2"/>
  <c r="Z279" i="2" s="1"/>
  <c r="V280" i="2" l="1"/>
  <c r="Z280" i="2" s="1"/>
  <c r="S281" i="2"/>
  <c r="Q281" i="2"/>
  <c r="P281" i="2"/>
  <c r="N282" i="2"/>
  <c r="Y281" i="2"/>
  <c r="T281" i="2"/>
  <c r="T282" i="2" l="1"/>
  <c r="S282" i="2"/>
  <c r="Q282" i="2"/>
  <c r="Y282" i="2"/>
  <c r="P282" i="2"/>
  <c r="N283" i="2"/>
  <c r="V281" i="2"/>
  <c r="Z281" i="2" s="1"/>
  <c r="T283" i="2" l="1"/>
  <c r="S283" i="2"/>
  <c r="Q283" i="2"/>
  <c r="P283" i="2"/>
  <c r="N284" i="2"/>
  <c r="Y283" i="2"/>
  <c r="V282" i="2"/>
  <c r="Z282" i="2" s="1"/>
  <c r="N285" i="2" l="1"/>
  <c r="S284" i="2"/>
  <c r="Y284" i="2"/>
  <c r="T284" i="2"/>
  <c r="Q284" i="2"/>
  <c r="P284" i="2"/>
  <c r="V283" i="2"/>
  <c r="Z283" i="2" s="1"/>
  <c r="V284" i="2" l="1"/>
  <c r="Z284" i="2" s="1"/>
  <c r="N286" i="2"/>
  <c r="T285" i="2"/>
  <c r="S285" i="2"/>
  <c r="Q285" i="2"/>
  <c r="Y285" i="2"/>
  <c r="P285" i="2"/>
  <c r="V285" i="2" l="1"/>
  <c r="Z285" i="2" s="1"/>
  <c r="P286" i="2"/>
  <c r="Y286" i="2"/>
  <c r="T286" i="2"/>
  <c r="N287" i="2"/>
  <c r="S286" i="2"/>
  <c r="Q286" i="2"/>
  <c r="V286" i="2" l="1"/>
  <c r="Z286" i="2" s="1"/>
  <c r="P287" i="2"/>
  <c r="N288" i="2"/>
  <c r="T287" i="2"/>
  <c r="S287" i="2"/>
  <c r="Y287" i="2"/>
  <c r="Q287" i="2"/>
  <c r="S288" i="2" l="1"/>
  <c r="P288" i="2"/>
  <c r="N289" i="2"/>
  <c r="Y288" i="2"/>
  <c r="Q288" i="2"/>
  <c r="T288" i="2"/>
  <c r="V287" i="2"/>
  <c r="Z287" i="2" s="1"/>
  <c r="S289" i="2" l="1"/>
  <c r="P289" i="2"/>
  <c r="N290" i="2"/>
  <c r="Q289" i="2"/>
  <c r="Y289" i="2"/>
  <c r="T289" i="2"/>
  <c r="V288" i="2"/>
  <c r="Z288" i="2" s="1"/>
  <c r="T290" i="2" l="1"/>
  <c r="Y290" i="2"/>
  <c r="S290" i="2"/>
  <c r="P290" i="2"/>
  <c r="N291" i="2"/>
  <c r="Q290" i="2"/>
  <c r="V289" i="2"/>
  <c r="Z289" i="2" s="1"/>
  <c r="V290" i="2" l="1"/>
  <c r="Z290" i="2" s="1"/>
  <c r="Q291" i="2"/>
  <c r="T291" i="2"/>
  <c r="S291" i="2"/>
  <c r="P291" i="2"/>
  <c r="N292" i="2"/>
  <c r="Y291" i="2"/>
  <c r="V291" i="2" l="1"/>
  <c r="Z291" i="2" s="1"/>
  <c r="T292" i="2"/>
  <c r="S292" i="2"/>
  <c r="P292" i="2"/>
  <c r="N293" i="2"/>
  <c r="Q292" i="2"/>
  <c r="Y292" i="2"/>
  <c r="V292" i="2" l="1"/>
  <c r="Z292" i="2" s="1"/>
  <c r="N294" i="2"/>
  <c r="Y293" i="2"/>
  <c r="T293" i="2"/>
  <c r="Q293" i="2"/>
  <c r="P293" i="2"/>
  <c r="S293" i="2"/>
  <c r="V293" i="2" l="1"/>
  <c r="Z293" i="2" s="1"/>
  <c r="P294" i="2"/>
  <c r="N295" i="2"/>
  <c r="Y294" i="2"/>
  <c r="Q294" i="2"/>
  <c r="T294" i="2"/>
  <c r="S294" i="2"/>
  <c r="V294" i="2" l="1"/>
  <c r="Z294" i="2" s="1"/>
  <c r="P295" i="2"/>
  <c r="N296" i="2"/>
  <c r="S295" i="2"/>
  <c r="Y295" i="2"/>
  <c r="T295" i="2"/>
  <c r="Q295" i="2"/>
  <c r="Q296" i="2" l="1"/>
  <c r="Y296" i="2"/>
  <c r="T296" i="2"/>
  <c r="P296" i="2"/>
  <c r="N297" i="2"/>
  <c r="S296" i="2"/>
  <c r="V295" i="2"/>
  <c r="Z295" i="2" s="1"/>
  <c r="V296" i="2" l="1"/>
  <c r="Z296" i="2" s="1"/>
  <c r="S297" i="2"/>
  <c r="Q297" i="2"/>
  <c r="P297" i="2"/>
  <c r="N298" i="2"/>
  <c r="Y297" i="2"/>
  <c r="T297" i="2"/>
  <c r="T298" i="2" l="1"/>
  <c r="N299" i="2"/>
  <c r="S298" i="2"/>
  <c r="Q298" i="2"/>
  <c r="P298" i="2"/>
  <c r="Y298" i="2"/>
  <c r="V297" i="2"/>
  <c r="Z297" i="2" s="1"/>
  <c r="V298" i="2" l="1"/>
  <c r="Z298" i="2" s="1"/>
  <c r="T299" i="2"/>
  <c r="S299" i="2"/>
  <c r="Q299" i="2"/>
  <c r="P299" i="2"/>
  <c r="N300" i="2"/>
  <c r="Y299" i="2"/>
  <c r="Y300" i="2" l="1"/>
  <c r="T300" i="2"/>
  <c r="Q300" i="2"/>
  <c r="P300" i="2"/>
  <c r="S300" i="2"/>
  <c r="N301" i="2"/>
  <c r="V299" i="2"/>
  <c r="Z299" i="2" s="1"/>
  <c r="V300" i="2" l="1"/>
  <c r="Z300" i="2" s="1"/>
  <c r="Y301" i="2"/>
  <c r="T301" i="2"/>
  <c r="S301" i="2"/>
  <c r="P301" i="2"/>
  <c r="N302" i="2"/>
  <c r="Q301" i="2"/>
  <c r="P302" i="2" l="1"/>
  <c r="N303" i="2"/>
  <c r="T302" i="2"/>
  <c r="Y302" i="2"/>
  <c r="S302" i="2"/>
  <c r="Q302" i="2"/>
  <c r="V301" i="2"/>
  <c r="Z301" i="2" s="1"/>
  <c r="Q303" i="2" l="1"/>
  <c r="P303" i="2"/>
  <c r="N304" i="2"/>
  <c r="Y303" i="2"/>
  <c r="S303" i="2"/>
  <c r="T303" i="2"/>
  <c r="V302" i="2"/>
  <c r="Z302" i="2" s="1"/>
  <c r="S304" i="2" l="1"/>
  <c r="Q304" i="2"/>
  <c r="Y304" i="2"/>
  <c r="P304" i="2"/>
  <c r="N305" i="2"/>
  <c r="T304" i="2"/>
  <c r="V303" i="2"/>
  <c r="Z303" i="2" s="1"/>
  <c r="S305" i="2" l="1"/>
  <c r="Q305" i="2"/>
  <c r="P305" i="2"/>
  <c r="N306" i="2"/>
  <c r="T305" i="2"/>
  <c r="Y305" i="2"/>
  <c r="V304" i="2"/>
  <c r="Z304" i="2" s="1"/>
  <c r="T306" i="2" l="1"/>
  <c r="Q306" i="2"/>
  <c r="S306" i="2"/>
  <c r="P306" i="2"/>
  <c r="Y306" i="2"/>
  <c r="N307" i="2"/>
  <c r="V305" i="2"/>
  <c r="Z305" i="2" s="1"/>
  <c r="V306" i="2" l="1"/>
  <c r="Z306" i="2" s="1"/>
  <c r="T307" i="2"/>
  <c r="S307" i="2"/>
  <c r="P307" i="2"/>
  <c r="N308" i="2"/>
  <c r="Q307" i="2"/>
  <c r="Y307" i="2"/>
  <c r="V307" i="2" l="1"/>
  <c r="Z307" i="2" s="1"/>
  <c r="Y308" i="2"/>
  <c r="S308" i="2"/>
  <c r="Q308" i="2"/>
  <c r="T308" i="2"/>
  <c r="P308" i="2"/>
  <c r="N309" i="2"/>
  <c r="Y309" i="2" l="1"/>
  <c r="T309" i="2"/>
  <c r="S309" i="2"/>
  <c r="Q309" i="2"/>
  <c r="P309" i="2"/>
  <c r="N310" i="2"/>
  <c r="V308" i="2"/>
  <c r="Z308" i="2" s="1"/>
  <c r="P310" i="2" l="1"/>
  <c r="N311" i="2"/>
  <c r="Y310" i="2"/>
  <c r="T310" i="2"/>
  <c r="S310" i="2"/>
  <c r="Q310" i="2"/>
  <c r="V309" i="2"/>
  <c r="Z309" i="2" s="1"/>
  <c r="V310" i="2" l="1"/>
  <c r="Z310" i="2" s="1"/>
  <c r="P311" i="2"/>
  <c r="N312" i="2"/>
  <c r="Y311" i="2"/>
  <c r="T311" i="2"/>
  <c r="S311" i="2"/>
  <c r="Q311" i="2"/>
  <c r="V311" i="2" l="1"/>
  <c r="Z311" i="2" s="1"/>
  <c r="Y312" i="2"/>
  <c r="T312" i="2"/>
  <c r="P312" i="2"/>
  <c r="N313" i="2"/>
  <c r="S312" i="2"/>
  <c r="Q312" i="2"/>
  <c r="V312" i="2" l="1"/>
  <c r="Z312" i="2" s="1"/>
  <c r="Q313" i="2"/>
  <c r="N314" i="2"/>
  <c r="Y313" i="2"/>
  <c r="P313" i="2"/>
  <c r="T313" i="2"/>
  <c r="S313" i="2"/>
  <c r="V313" i="2" l="1"/>
  <c r="Z313" i="2" s="1"/>
  <c r="T314" i="2"/>
  <c r="P314" i="2"/>
  <c r="N315" i="2"/>
  <c r="S314" i="2"/>
  <c r="Q314" i="2"/>
  <c r="Y314" i="2"/>
  <c r="V314" i="2" l="1"/>
  <c r="Z314" i="2" s="1"/>
  <c r="S315" i="2"/>
  <c r="N316" i="2"/>
  <c r="Y315" i="2"/>
  <c r="P315" i="2"/>
  <c r="T315" i="2"/>
  <c r="Q315" i="2"/>
  <c r="Y316" i="2" l="1"/>
  <c r="S316" i="2"/>
  <c r="Q316" i="2"/>
  <c r="N317" i="2"/>
  <c r="P316" i="2"/>
  <c r="T316" i="2"/>
  <c r="V315" i="2"/>
  <c r="Z315" i="2" s="1"/>
  <c r="S317" i="2" l="1"/>
  <c r="Q317" i="2"/>
  <c r="N318" i="2"/>
  <c r="Y317" i="2"/>
  <c r="P317" i="2"/>
  <c r="T317" i="2"/>
  <c r="V316" i="2"/>
  <c r="Z316" i="2" s="1"/>
  <c r="S318" i="2" l="1"/>
  <c r="Q318" i="2"/>
  <c r="P318" i="2"/>
  <c r="N319" i="2"/>
  <c r="T318" i="2"/>
  <c r="Y318" i="2"/>
  <c r="V317" i="2"/>
  <c r="Z317" i="2" s="1"/>
  <c r="T319" i="2" l="1"/>
  <c r="P319" i="2"/>
  <c r="N320" i="2"/>
  <c r="Q319" i="2"/>
  <c r="Y319" i="2"/>
  <c r="S319" i="2"/>
  <c r="V318" i="2"/>
  <c r="Z318" i="2" s="1"/>
  <c r="V319" i="2" l="1"/>
  <c r="Z319" i="2" s="1"/>
  <c r="S320" i="2"/>
  <c r="Q320" i="2"/>
  <c r="T320" i="2"/>
  <c r="N321" i="2"/>
  <c r="Y320" i="2"/>
  <c r="P320" i="2"/>
  <c r="N322" i="2" l="1"/>
  <c r="Q321" i="2"/>
  <c r="T321" i="2"/>
  <c r="P321" i="2"/>
  <c r="Y321" i="2"/>
  <c r="S321" i="2"/>
  <c r="V320" i="2"/>
  <c r="Z320" i="2" s="1"/>
  <c r="V321" i="2" l="1"/>
  <c r="Z321" i="2" s="1"/>
  <c r="S322" i="2"/>
  <c r="P322" i="2"/>
  <c r="Q322" i="2"/>
  <c r="N323" i="2"/>
  <c r="T322" i="2"/>
  <c r="Y322" i="2"/>
  <c r="S323" i="2" l="1"/>
  <c r="T323" i="2"/>
  <c r="Q323" i="2"/>
  <c r="P323" i="2"/>
  <c r="N324" i="2"/>
  <c r="Y323" i="2"/>
  <c r="V322" i="2"/>
  <c r="Z322" i="2" s="1"/>
  <c r="S324" i="2" l="1"/>
  <c r="N325" i="2"/>
  <c r="Q324" i="2"/>
  <c r="Y324" i="2"/>
  <c r="T324" i="2"/>
  <c r="P324" i="2"/>
  <c r="V323" i="2"/>
  <c r="Z323" i="2" s="1"/>
  <c r="S325" i="2" l="1"/>
  <c r="Q325" i="2"/>
  <c r="P325" i="2"/>
  <c r="Y325" i="2"/>
  <c r="N326" i="2"/>
  <c r="T325" i="2"/>
  <c r="V324" i="2"/>
  <c r="Z324" i="2" s="1"/>
  <c r="S326" i="2" l="1"/>
  <c r="N327" i="2"/>
  <c r="T326" i="2"/>
  <c r="Y326" i="2"/>
  <c r="Q326" i="2"/>
  <c r="P326" i="2"/>
  <c r="V325" i="2"/>
  <c r="Z325" i="2" s="1"/>
  <c r="S327" i="2" l="1"/>
  <c r="N328" i="2"/>
  <c r="T327" i="2"/>
  <c r="Y327" i="2"/>
  <c r="Q327" i="2"/>
  <c r="P327" i="2"/>
  <c r="V326" i="2"/>
  <c r="Z326" i="2" s="1"/>
  <c r="S328" i="2" l="1"/>
  <c r="T328" i="2"/>
  <c r="Q328" i="2"/>
  <c r="P328" i="2"/>
  <c r="N329" i="2"/>
  <c r="Y328" i="2"/>
  <c r="V327" i="2"/>
  <c r="Z327" i="2" s="1"/>
  <c r="Y329" i="2" l="1"/>
  <c r="S329" i="2"/>
  <c r="P329" i="2"/>
  <c r="Q329" i="2"/>
  <c r="N330" i="2"/>
  <c r="T329" i="2"/>
  <c r="V328" i="2"/>
  <c r="Z328" i="2" s="1"/>
  <c r="S330" i="2" l="1"/>
  <c r="P330" i="2"/>
  <c r="N331" i="2"/>
  <c r="T330" i="2"/>
  <c r="Q330" i="2"/>
  <c r="Y330" i="2"/>
  <c r="V329" i="2"/>
  <c r="Z329" i="2" s="1"/>
  <c r="S331" i="2" l="1"/>
  <c r="Q331" i="2"/>
  <c r="T331" i="2"/>
  <c r="P331" i="2"/>
  <c r="N332" i="2"/>
  <c r="Y331" i="2"/>
  <c r="V330" i="2"/>
  <c r="Z330" i="2" s="1"/>
  <c r="S332" i="2" l="1"/>
  <c r="N333" i="2"/>
  <c r="Q332" i="2"/>
  <c r="T332" i="2"/>
  <c r="P332" i="2"/>
  <c r="Y332" i="2"/>
  <c r="V331" i="2"/>
  <c r="Z331" i="2" s="1"/>
  <c r="S333" i="2" l="1"/>
  <c r="Q333" i="2"/>
  <c r="P333" i="2"/>
  <c r="N334" i="2"/>
  <c r="T333" i="2"/>
  <c r="Y333" i="2"/>
  <c r="V332" i="2"/>
  <c r="Z332" i="2" s="1"/>
  <c r="S334" i="2" l="1"/>
  <c r="N335" i="2"/>
  <c r="T334" i="2"/>
  <c r="Q334" i="2"/>
  <c r="Y334" i="2"/>
  <c r="P334" i="2"/>
  <c r="V333" i="2"/>
  <c r="Z333" i="2" s="1"/>
  <c r="Y335" i="2" l="1"/>
  <c r="S335" i="2"/>
  <c r="T335" i="2"/>
  <c r="Q335" i="2"/>
  <c r="N336" i="2"/>
  <c r="P335" i="2"/>
  <c r="V334" i="2"/>
  <c r="Z334" i="2" s="1"/>
  <c r="S336" i="2" l="1"/>
  <c r="T336" i="2"/>
  <c r="Q336" i="2"/>
  <c r="N337" i="2"/>
  <c r="Y336" i="2"/>
  <c r="P336" i="2"/>
  <c r="V335" i="2"/>
  <c r="Z335" i="2" s="1"/>
  <c r="N338" i="2" l="1"/>
  <c r="T337" i="2"/>
  <c r="Y337" i="2"/>
  <c r="P337" i="2"/>
  <c r="Q337" i="2"/>
  <c r="S337" i="2"/>
  <c r="V336" i="2"/>
  <c r="Z336" i="2" s="1"/>
  <c r="V337" i="2" l="1"/>
  <c r="Z337" i="2" s="1"/>
  <c r="Y338" i="2"/>
  <c r="S338" i="2"/>
  <c r="T338" i="2"/>
  <c r="P338" i="2"/>
  <c r="N339" i="2"/>
  <c r="Q338" i="2"/>
  <c r="S339" i="2" l="1"/>
  <c r="N340" i="2"/>
  <c r="Y339" i="2"/>
  <c r="T339" i="2"/>
  <c r="Q339" i="2"/>
  <c r="P339" i="2"/>
  <c r="V338" i="2"/>
  <c r="Z338" i="2" s="1"/>
  <c r="S340" i="2" l="1"/>
  <c r="N341" i="2"/>
  <c r="P340" i="2"/>
  <c r="Y340" i="2"/>
  <c r="Q340" i="2"/>
  <c r="T340" i="2"/>
  <c r="V339" i="2"/>
  <c r="Z339" i="2" s="1"/>
  <c r="Q341" i="2" l="1"/>
  <c r="T341" i="2"/>
  <c r="P341" i="2"/>
  <c r="N342" i="2"/>
  <c r="Y341" i="2"/>
  <c r="S341" i="2"/>
  <c r="V340" i="2"/>
  <c r="Z340" i="2" s="1"/>
  <c r="V341" i="2" l="1"/>
  <c r="Z341" i="2" s="1"/>
  <c r="S342" i="2"/>
  <c r="Q342" i="2"/>
  <c r="P342" i="2"/>
  <c r="N343" i="2"/>
  <c r="T342" i="2"/>
  <c r="Y342" i="2"/>
  <c r="Y343" i="2" l="1"/>
  <c r="P343" i="2"/>
  <c r="S343" i="2"/>
  <c r="N344" i="2"/>
  <c r="T343" i="2"/>
  <c r="Q343" i="2"/>
  <c r="V342" i="2"/>
  <c r="Z342" i="2" s="1"/>
  <c r="V343" i="2" l="1"/>
  <c r="Z343" i="2" s="1"/>
  <c r="S344" i="2"/>
  <c r="T344" i="2"/>
  <c r="Q344" i="2"/>
  <c r="Y344" i="2"/>
  <c r="P344" i="2"/>
  <c r="N345" i="2"/>
  <c r="N346" i="2" l="1"/>
  <c r="P345" i="2"/>
  <c r="Y345" i="2"/>
  <c r="S345" i="2"/>
  <c r="T345" i="2"/>
  <c r="Q345" i="2"/>
  <c r="V344" i="2"/>
  <c r="Z344" i="2" s="1"/>
  <c r="V345" i="2" l="1"/>
  <c r="Z345" i="2" s="1"/>
  <c r="P346" i="2"/>
  <c r="Q346" i="2"/>
  <c r="S346" i="2"/>
  <c r="N347" i="2"/>
  <c r="T346" i="2"/>
  <c r="Y346" i="2"/>
  <c r="V346" i="2" l="1"/>
  <c r="Z346" i="2" s="1"/>
  <c r="S347" i="2"/>
  <c r="T347" i="2"/>
  <c r="Q347" i="2"/>
  <c r="P347" i="2"/>
  <c r="N348" i="2"/>
  <c r="Y347" i="2"/>
  <c r="S348" i="2" l="1"/>
  <c r="T348" i="2"/>
  <c r="P348" i="2"/>
  <c r="N349" i="2"/>
  <c r="Q348" i="2"/>
  <c r="Y348" i="2"/>
  <c r="V347" i="2"/>
  <c r="Z347" i="2" s="1"/>
  <c r="Q349" i="2" l="1"/>
  <c r="P349" i="2"/>
  <c r="Y349" i="2"/>
  <c r="N350" i="2"/>
  <c r="T349" i="2"/>
  <c r="S349" i="2"/>
  <c r="V348" i="2"/>
  <c r="Z348" i="2" s="1"/>
  <c r="V349" i="2" l="1"/>
  <c r="Z349" i="2" s="1"/>
  <c r="S350" i="2"/>
  <c r="Y350" i="2"/>
  <c r="N351" i="2"/>
  <c r="T350" i="2"/>
  <c r="Q350" i="2"/>
  <c r="P350" i="2"/>
  <c r="S351" i="2" l="1"/>
  <c r="T351" i="2"/>
  <c r="Q351" i="2"/>
  <c r="N352" i="2"/>
  <c r="Y351" i="2"/>
  <c r="P351" i="2"/>
  <c r="V350" i="2"/>
  <c r="Z350" i="2" s="1"/>
  <c r="Y352" i="2" l="1"/>
  <c r="S352" i="2"/>
  <c r="T352" i="2"/>
  <c r="Q352" i="2"/>
  <c r="P352" i="2"/>
  <c r="N353" i="2"/>
  <c r="V351" i="2"/>
  <c r="Z351" i="2" s="1"/>
  <c r="N354" i="2" l="1"/>
  <c r="S353" i="2"/>
  <c r="T353" i="2"/>
  <c r="P353" i="2"/>
  <c r="Q353" i="2"/>
  <c r="Y353" i="2"/>
  <c r="V352" i="2"/>
  <c r="Z352" i="2" s="1"/>
  <c r="V353" i="2" l="1"/>
  <c r="Z353" i="2" s="1"/>
  <c r="S354" i="2"/>
  <c r="T354" i="2"/>
  <c r="Q354" i="2"/>
  <c r="N355" i="2"/>
  <c r="Y354" i="2"/>
  <c r="P354" i="2"/>
  <c r="V354" i="2" l="1"/>
  <c r="Z354" i="2" s="1"/>
  <c r="S355" i="2"/>
  <c r="T355" i="2"/>
  <c r="Q355" i="2"/>
  <c r="Y355" i="2"/>
  <c r="P355" i="2"/>
  <c r="N356" i="2"/>
  <c r="V355" i="2" l="1"/>
  <c r="Z355" i="2" s="1"/>
  <c r="Y356" i="2"/>
  <c r="S356" i="2"/>
  <c r="N357" i="2"/>
  <c r="Q356" i="2"/>
  <c r="T356" i="2"/>
  <c r="P356" i="2"/>
  <c r="S357" i="2" l="1"/>
  <c r="Q357" i="2"/>
  <c r="T357" i="2"/>
  <c r="P357" i="2"/>
  <c r="N358" i="2"/>
  <c r="Y357" i="2"/>
  <c r="V356" i="2"/>
  <c r="Z356" i="2" s="1"/>
  <c r="S358" i="2" l="1"/>
  <c r="N359" i="2"/>
  <c r="Q358" i="2"/>
  <c r="P358" i="2"/>
  <c r="T358" i="2"/>
  <c r="Y358" i="2"/>
  <c r="V357" i="2"/>
  <c r="Z357" i="2" s="1"/>
  <c r="S359" i="2" l="1"/>
  <c r="N360" i="2"/>
  <c r="T359" i="2"/>
  <c r="Q359" i="2"/>
  <c r="Y359" i="2"/>
  <c r="P359" i="2"/>
  <c r="V358" i="2"/>
  <c r="Z358" i="2" s="1"/>
  <c r="S360" i="2" l="1"/>
  <c r="Q360" i="2"/>
  <c r="P360" i="2"/>
  <c r="T360" i="2"/>
  <c r="N361" i="2"/>
  <c r="Y360" i="2"/>
  <c r="V359" i="2"/>
  <c r="Z359" i="2" s="1"/>
  <c r="S361" i="2" l="1"/>
  <c r="Q361" i="2"/>
  <c r="N362" i="2"/>
  <c r="T361" i="2"/>
  <c r="Y361" i="2"/>
  <c r="P361" i="2"/>
  <c r="V360" i="2"/>
  <c r="Z360" i="2" s="1"/>
  <c r="S362" i="2" l="1"/>
  <c r="T362" i="2"/>
  <c r="P362" i="2"/>
  <c r="N363" i="2"/>
  <c r="Q362" i="2"/>
  <c r="Y362" i="2"/>
  <c r="V361" i="2"/>
  <c r="Z361" i="2" s="1"/>
  <c r="S363" i="2" l="1"/>
  <c r="T363" i="2"/>
  <c r="N364" i="2"/>
  <c r="P363" i="2"/>
  <c r="Y363" i="2"/>
  <c r="Q363" i="2"/>
  <c r="V362" i="2"/>
  <c r="Z362" i="2" s="1"/>
  <c r="Y364" i="2" l="1"/>
  <c r="S364" i="2"/>
  <c r="N365" i="2"/>
  <c r="Q364" i="2"/>
  <c r="P364" i="2"/>
  <c r="T364" i="2"/>
  <c r="V363" i="2"/>
  <c r="Z363" i="2" s="1"/>
  <c r="S365" i="2" l="1"/>
  <c r="P365" i="2"/>
  <c r="N366" i="2"/>
  <c r="Y365" i="2"/>
  <c r="Q365" i="2"/>
  <c r="T365" i="2"/>
  <c r="V364" i="2"/>
  <c r="Z364" i="2" s="1"/>
  <c r="N367" i="2" l="1"/>
  <c r="Y366" i="2"/>
  <c r="T366" i="2"/>
  <c r="Q366" i="2"/>
  <c r="P366" i="2"/>
  <c r="S366" i="2"/>
  <c r="V365" i="2"/>
  <c r="Z365" i="2" s="1"/>
  <c r="V366" i="2" l="1"/>
  <c r="Z366" i="2" s="1"/>
  <c r="N368" i="2"/>
  <c r="T367" i="2"/>
  <c r="P367" i="2"/>
  <c r="Q367" i="2"/>
  <c r="Y367" i="2"/>
  <c r="S367" i="2"/>
  <c r="V367" i="2" l="1"/>
  <c r="Z367" i="2" s="1"/>
  <c r="S368" i="2"/>
  <c r="N369" i="2"/>
  <c r="T368" i="2"/>
  <c r="Y368" i="2"/>
  <c r="Q368" i="2"/>
  <c r="P368" i="2"/>
  <c r="N370" i="2" l="1"/>
  <c r="P369" i="2"/>
  <c r="Q369" i="2"/>
  <c r="T369" i="2"/>
  <c r="Y369" i="2"/>
  <c r="S369" i="2"/>
  <c r="V368" i="2"/>
  <c r="Z368" i="2" s="1"/>
  <c r="V369" i="2" l="1"/>
  <c r="Z369" i="2" s="1"/>
  <c r="Y370" i="2"/>
  <c r="P370" i="2"/>
  <c r="N371" i="2"/>
  <c r="Q370" i="2"/>
  <c r="S370" i="2"/>
  <c r="T370" i="2"/>
  <c r="V370" i="2" l="1"/>
  <c r="Z370" i="2" s="1"/>
  <c r="S371" i="2"/>
  <c r="T371" i="2"/>
  <c r="N372" i="2"/>
  <c r="Y371" i="2"/>
  <c r="Q371" i="2"/>
  <c r="P371" i="2"/>
  <c r="S372" i="2" l="1"/>
  <c r="N373" i="2"/>
  <c r="T372" i="2"/>
  <c r="P372" i="2"/>
  <c r="Y372" i="2"/>
  <c r="Q372" i="2"/>
  <c r="V371" i="2"/>
  <c r="Z371" i="2" s="1"/>
  <c r="T373" i="2" l="1"/>
  <c r="S373" i="2"/>
  <c r="Q373" i="2"/>
  <c r="P373" i="2"/>
  <c r="N374" i="2"/>
  <c r="Y373" i="2"/>
  <c r="V372" i="2"/>
  <c r="Z372" i="2" s="1"/>
  <c r="Y374" i="2" l="1"/>
  <c r="T374" i="2"/>
  <c r="S374" i="2"/>
  <c r="N375" i="2"/>
  <c r="Q374" i="2"/>
  <c r="P374" i="2"/>
  <c r="V373" i="2"/>
  <c r="Z373" i="2" s="1"/>
  <c r="Y375" i="2" l="1"/>
  <c r="T375" i="2"/>
  <c r="S375" i="2"/>
  <c r="N376" i="2"/>
  <c r="Q375" i="2"/>
  <c r="P375" i="2"/>
  <c r="V374" i="2"/>
  <c r="Z374" i="2" s="1"/>
  <c r="V375" i="2" l="1"/>
  <c r="Z375" i="2" s="1"/>
  <c r="Y376" i="2"/>
  <c r="S376" i="2"/>
  <c r="Q376" i="2"/>
  <c r="T376" i="2"/>
  <c r="P376" i="2"/>
  <c r="N377" i="2"/>
  <c r="T377" i="2" l="1"/>
  <c r="S377" i="2"/>
  <c r="N378" i="2"/>
  <c r="P377" i="2"/>
  <c r="Y377" i="2"/>
  <c r="Q377" i="2"/>
  <c r="V376" i="2"/>
  <c r="Z376" i="2" s="1"/>
  <c r="V377" i="2" l="1"/>
  <c r="Z377" i="2" s="1"/>
  <c r="Y378" i="2"/>
  <c r="T378" i="2"/>
  <c r="S378" i="2"/>
  <c r="N379" i="2"/>
  <c r="Q378" i="2"/>
  <c r="P378" i="2"/>
  <c r="T379" i="2" l="1"/>
  <c r="S379" i="2"/>
  <c r="Q379" i="2"/>
  <c r="N380" i="2"/>
  <c r="Y379" i="2"/>
  <c r="P379" i="2"/>
  <c r="V378" i="2"/>
  <c r="Z378" i="2" s="1"/>
  <c r="V379" i="2" l="1"/>
  <c r="Z379" i="2" s="1"/>
  <c r="T380" i="2"/>
  <c r="Y380" i="2"/>
  <c r="S380" i="2"/>
  <c r="N381" i="2"/>
  <c r="P380" i="2"/>
  <c r="Q380" i="2"/>
  <c r="T381" i="2" l="1"/>
  <c r="S381" i="2"/>
  <c r="Q381" i="2"/>
  <c r="P381" i="2"/>
  <c r="Y381" i="2"/>
  <c r="N382" i="2"/>
  <c r="V380" i="2"/>
  <c r="Z380" i="2" s="1"/>
  <c r="V381" i="2" l="1"/>
  <c r="Z381" i="2" s="1"/>
  <c r="T382" i="2"/>
  <c r="N383" i="2"/>
  <c r="Q382" i="2"/>
  <c r="P382" i="2"/>
  <c r="Y382" i="2"/>
  <c r="S382" i="2"/>
  <c r="V382" i="2" l="1"/>
  <c r="Z382" i="2" s="1"/>
  <c r="S383" i="2"/>
  <c r="N384" i="2"/>
  <c r="Q383" i="2"/>
  <c r="Y383" i="2"/>
  <c r="P383" i="2"/>
  <c r="T383" i="2"/>
  <c r="T384" i="2" l="1"/>
  <c r="Q384" i="2"/>
  <c r="P384" i="2"/>
  <c r="Y384" i="2"/>
  <c r="S384" i="2"/>
  <c r="N385" i="2"/>
  <c r="V383" i="2"/>
  <c r="Z383" i="2" s="1"/>
  <c r="V384" i="2" l="1"/>
  <c r="Z384" i="2" s="1"/>
  <c r="S385" i="2"/>
  <c r="Y385" i="2"/>
  <c r="Q385" i="2"/>
  <c r="P385" i="2"/>
  <c r="N386" i="2"/>
  <c r="T385" i="2"/>
  <c r="S386" i="2" l="1"/>
  <c r="N387" i="2"/>
  <c r="Q386" i="2"/>
  <c r="P386" i="2"/>
  <c r="Y386" i="2"/>
  <c r="T386" i="2"/>
  <c r="V385" i="2"/>
  <c r="Z385" i="2" s="1"/>
  <c r="S387" i="2" l="1"/>
  <c r="Y387" i="2"/>
  <c r="P387" i="2"/>
  <c r="Q387" i="2"/>
  <c r="N388" i="2"/>
  <c r="T387" i="2"/>
  <c r="V386" i="2"/>
  <c r="Z386" i="2" s="1"/>
  <c r="T388" i="2" l="1"/>
  <c r="Q388" i="2"/>
  <c r="S388" i="2"/>
  <c r="P388" i="2"/>
  <c r="Y388" i="2"/>
  <c r="N389" i="2"/>
  <c r="V387" i="2"/>
  <c r="Z387" i="2" s="1"/>
  <c r="T389" i="2" l="1"/>
  <c r="N390" i="2"/>
  <c r="P389" i="2"/>
  <c r="Q389" i="2"/>
  <c r="Y389" i="2"/>
  <c r="S389" i="2"/>
  <c r="V388" i="2"/>
  <c r="Z388" i="2" s="1"/>
  <c r="V389" i="2" l="1"/>
  <c r="Z389" i="2" s="1"/>
  <c r="T390" i="2"/>
  <c r="S390" i="2"/>
  <c r="N391" i="2"/>
  <c r="Q390" i="2"/>
  <c r="P390" i="2"/>
  <c r="Y390" i="2"/>
  <c r="V390" i="2" l="1"/>
  <c r="Z390" i="2" s="1"/>
  <c r="T391" i="2"/>
  <c r="Q391" i="2"/>
  <c r="Y391" i="2"/>
  <c r="S391" i="2"/>
  <c r="N392" i="2"/>
  <c r="P391" i="2"/>
  <c r="V391" i="2" l="1"/>
  <c r="Z391" i="2" s="1"/>
  <c r="S392" i="2"/>
  <c r="P392" i="2"/>
  <c r="Q392" i="2"/>
  <c r="N393" i="2"/>
  <c r="Y392" i="2"/>
  <c r="T392" i="2"/>
  <c r="Y393" i="2" l="1"/>
  <c r="T393" i="2"/>
  <c r="S393" i="2"/>
  <c r="N394" i="2"/>
  <c r="P393" i="2"/>
  <c r="Q393" i="2"/>
  <c r="V392" i="2"/>
  <c r="Z392" i="2" s="1"/>
  <c r="V393" i="2" l="1"/>
  <c r="Z393" i="2" s="1"/>
  <c r="S394" i="2"/>
  <c r="N395" i="2"/>
  <c r="Q394" i="2"/>
  <c r="Y394" i="2"/>
  <c r="P394" i="2"/>
  <c r="T394" i="2"/>
  <c r="V394" i="2" l="1"/>
  <c r="Z394" i="2" s="1"/>
  <c r="T395" i="2"/>
  <c r="P395" i="2"/>
  <c r="S395" i="2"/>
  <c r="N396" i="2"/>
  <c r="Q395" i="2"/>
  <c r="Y395" i="2"/>
  <c r="V395" i="2" l="1"/>
  <c r="Z395" i="2" s="1"/>
  <c r="Y396" i="2"/>
  <c r="T396" i="2"/>
  <c r="P396" i="2"/>
  <c r="S396" i="2"/>
  <c r="N397" i="2"/>
  <c r="Q396" i="2"/>
  <c r="Y397" i="2" l="1"/>
  <c r="T397" i="2"/>
  <c r="S397" i="2"/>
  <c r="P397" i="2"/>
  <c r="N398" i="2"/>
  <c r="Q397" i="2"/>
  <c r="V396" i="2"/>
  <c r="Z396" i="2" s="1"/>
  <c r="Y398" i="2" l="1"/>
  <c r="T398" i="2"/>
  <c r="Q398" i="2"/>
  <c r="P398" i="2"/>
  <c r="S398" i="2"/>
  <c r="N399" i="2"/>
  <c r="V397" i="2"/>
  <c r="Z397" i="2" s="1"/>
  <c r="V398" i="2" l="1"/>
  <c r="Z398" i="2" s="1"/>
  <c r="Y399" i="2"/>
  <c r="T399" i="2"/>
  <c r="S399" i="2"/>
  <c r="N400" i="2"/>
  <c r="N401" i="2" s="1"/>
  <c r="Q399" i="2"/>
  <c r="P399" i="2"/>
  <c r="P401" i="2" l="1"/>
  <c r="S401" i="2"/>
  <c r="Q401" i="2"/>
  <c r="T401" i="2"/>
  <c r="N402" i="2"/>
  <c r="Y401" i="2"/>
  <c r="V399" i="2"/>
  <c r="Z399" i="2" s="1"/>
  <c r="Y400" i="2"/>
  <c r="T400" i="2"/>
  <c r="Q400" i="2"/>
  <c r="S400" i="2"/>
  <c r="P400" i="2"/>
  <c r="V401" i="2" l="1"/>
  <c r="Z401" i="2" s="1"/>
  <c r="Q402" i="2"/>
  <c r="S402" i="2"/>
  <c r="N403" i="2"/>
  <c r="Y402" i="2"/>
  <c r="T402" i="2"/>
  <c r="P402" i="2"/>
  <c r="V400" i="2"/>
  <c r="Z400" i="2" s="1"/>
  <c r="V402" i="2" l="1"/>
  <c r="Z402" i="2" s="1"/>
  <c r="S403" i="2"/>
  <c r="Y403" i="2"/>
  <c r="T403" i="2"/>
  <c r="Q403" i="2"/>
  <c r="P403" i="2"/>
  <c r="N404" i="2"/>
  <c r="Y404" i="2" l="1"/>
  <c r="S404" i="2"/>
  <c r="P404" i="2"/>
  <c r="N405" i="2"/>
  <c r="T404" i="2"/>
  <c r="Q404" i="2"/>
  <c r="V403" i="2"/>
  <c r="Z403" i="2" s="1"/>
  <c r="P405" i="2" l="1"/>
  <c r="S405" i="2"/>
  <c r="N406" i="2"/>
  <c r="Y405" i="2"/>
  <c r="T405" i="2"/>
  <c r="Q405" i="2"/>
  <c r="V404" i="2"/>
  <c r="Z404" i="2" s="1"/>
  <c r="V405" i="2" l="1"/>
  <c r="Z405" i="2" s="1"/>
  <c r="Y406" i="2"/>
  <c r="T406" i="2"/>
  <c r="P406" i="2"/>
  <c r="Q406" i="2"/>
  <c r="N407" i="2"/>
  <c r="S406" i="2"/>
  <c r="V406" i="2" l="1"/>
  <c r="Z406" i="2" s="1"/>
  <c r="P407" i="2"/>
  <c r="Q407" i="2"/>
  <c r="N408" i="2"/>
  <c r="S407" i="2"/>
  <c r="Y407" i="2"/>
  <c r="T407" i="2"/>
  <c r="Q408" i="2" l="1"/>
  <c r="P408" i="2"/>
  <c r="N409" i="2"/>
  <c r="S408" i="2"/>
  <c r="T408" i="2"/>
  <c r="Y408" i="2"/>
  <c r="V407" i="2"/>
  <c r="Z407" i="2" s="1"/>
  <c r="V408" i="2" l="1"/>
  <c r="Z408" i="2" s="1"/>
  <c r="P409" i="2"/>
  <c r="Q409" i="2"/>
  <c r="N410" i="2"/>
  <c r="Y409" i="2"/>
  <c r="S409" i="2"/>
  <c r="T409" i="2"/>
  <c r="V409" i="2" l="1"/>
  <c r="Z409" i="2" s="1"/>
  <c r="P410" i="2"/>
  <c r="N411" i="2"/>
  <c r="S410" i="2"/>
  <c r="Y410" i="2"/>
  <c r="Q410" i="2"/>
  <c r="T410" i="2"/>
  <c r="P411" i="2" l="1"/>
  <c r="N412" i="2"/>
  <c r="S411" i="2"/>
  <c r="T411" i="2"/>
  <c r="Q411" i="2"/>
  <c r="Y411" i="2"/>
  <c r="V410" i="2"/>
  <c r="Z410" i="2" s="1"/>
  <c r="N413" i="2" l="1"/>
  <c r="Y412" i="2"/>
  <c r="Q412" i="2"/>
  <c r="P412" i="2"/>
  <c r="T412" i="2"/>
  <c r="S412" i="2"/>
  <c r="V411" i="2"/>
  <c r="Z411" i="2" s="1"/>
  <c r="V412" i="2" l="1"/>
  <c r="Z412" i="2" s="1"/>
  <c r="Q413" i="2"/>
  <c r="P413" i="2"/>
  <c r="N414" i="2"/>
  <c r="S413" i="2"/>
  <c r="Y413" i="2"/>
  <c r="T413" i="2"/>
  <c r="V413" i="2" l="1"/>
  <c r="Z413" i="2" s="1"/>
  <c r="N415" i="2"/>
  <c r="Y414" i="2"/>
  <c r="T414" i="2"/>
  <c r="P414" i="2"/>
  <c r="S414" i="2"/>
  <c r="Q414" i="2"/>
  <c r="V414" i="2" l="1"/>
  <c r="Z414" i="2" s="1"/>
  <c r="Y415" i="2"/>
  <c r="T415" i="2"/>
  <c r="P415" i="2"/>
  <c r="N416" i="2"/>
  <c r="S415" i="2"/>
  <c r="Q415" i="2"/>
  <c r="V415" i="2" l="1"/>
  <c r="Z415" i="2" s="1"/>
  <c r="Q416" i="2"/>
  <c r="P416" i="2"/>
  <c r="T416" i="2"/>
  <c r="N417" i="2"/>
  <c r="Y416" i="2"/>
  <c r="S416" i="2"/>
  <c r="V416" i="2" l="1"/>
  <c r="Z416" i="2" s="1"/>
  <c r="T417" i="2"/>
  <c r="P417" i="2"/>
  <c r="N418" i="2"/>
  <c r="Y417" i="2"/>
  <c r="Q417" i="2"/>
  <c r="S417" i="2"/>
  <c r="V417" i="2" l="1"/>
  <c r="Z417" i="2" s="1"/>
  <c r="Y418" i="2"/>
  <c r="N419" i="2"/>
  <c r="P418" i="2"/>
  <c r="T418" i="2"/>
  <c r="Q418" i="2"/>
  <c r="S418" i="2"/>
  <c r="V418" i="2" l="1"/>
  <c r="Z418" i="2" s="1"/>
  <c r="Y419" i="2"/>
  <c r="Q419" i="2"/>
  <c r="N420" i="2"/>
  <c r="S419" i="2"/>
  <c r="T419" i="2"/>
  <c r="P419" i="2"/>
  <c r="Y420" i="2" l="1"/>
  <c r="Q420" i="2"/>
  <c r="S420" i="2"/>
  <c r="T420" i="2"/>
  <c r="P420" i="2"/>
  <c r="N421" i="2"/>
  <c r="V419" i="2"/>
  <c r="Z419" i="2" s="1"/>
  <c r="Y421" i="2" l="1"/>
  <c r="Q421" i="2"/>
  <c r="S421" i="2"/>
  <c r="T421" i="2"/>
  <c r="P421" i="2"/>
  <c r="N422" i="2"/>
  <c r="V420" i="2"/>
  <c r="Z420" i="2" s="1"/>
  <c r="Y422" i="2" l="1"/>
  <c r="Q422" i="2"/>
  <c r="P422" i="2"/>
  <c r="S422" i="2"/>
  <c r="T422" i="2"/>
  <c r="N423" i="2"/>
  <c r="V421" i="2"/>
  <c r="Z421" i="2" s="1"/>
  <c r="Y423" i="2" l="1"/>
  <c r="T423" i="2"/>
  <c r="N424" i="2"/>
  <c r="P423" i="2"/>
  <c r="Q423" i="2"/>
  <c r="S423" i="2"/>
  <c r="V422" i="2"/>
  <c r="Z422" i="2" s="1"/>
  <c r="V423" i="2" l="1"/>
  <c r="Z423" i="2" s="1"/>
  <c r="Y424" i="2"/>
  <c r="P424" i="2"/>
  <c r="T424" i="2"/>
  <c r="N425" i="2"/>
  <c r="S424" i="2"/>
  <c r="Q424" i="2"/>
  <c r="V424" i="2" l="1"/>
  <c r="Z424" i="2" s="1"/>
  <c r="Y425" i="2"/>
  <c r="T425" i="2"/>
  <c r="S425" i="2"/>
  <c r="P425" i="2"/>
  <c r="Q425" i="2"/>
  <c r="N426" i="2"/>
  <c r="V425" i="2" l="1"/>
  <c r="Z425" i="2" s="1"/>
  <c r="Y426" i="2"/>
  <c r="T426" i="2"/>
  <c r="S426" i="2"/>
  <c r="Q426" i="2"/>
  <c r="P426" i="2"/>
  <c r="N427" i="2"/>
  <c r="V426" i="2" l="1"/>
  <c r="Z426" i="2" s="1"/>
  <c r="Y427" i="2"/>
  <c r="T427" i="2"/>
  <c r="S427" i="2"/>
  <c r="P427" i="2"/>
  <c r="Q427" i="2"/>
  <c r="N428" i="2"/>
  <c r="S428" i="2" l="1"/>
  <c r="P428" i="2"/>
  <c r="Y428" i="2"/>
  <c r="T428" i="2"/>
  <c r="Q428" i="2"/>
  <c r="N429" i="2"/>
  <c r="V427" i="2"/>
  <c r="Z427" i="2" s="1"/>
  <c r="Q429" i="2" l="1"/>
  <c r="Y429" i="2"/>
  <c r="T429" i="2"/>
  <c r="S429" i="2"/>
  <c r="N430" i="2"/>
  <c r="P429" i="2"/>
  <c r="V428" i="2"/>
  <c r="Z428" i="2" s="1"/>
  <c r="Y430" i="2" l="1"/>
  <c r="N431" i="2"/>
  <c r="T430" i="2"/>
  <c r="Q430" i="2"/>
  <c r="S430" i="2"/>
  <c r="P430" i="2"/>
  <c r="V429" i="2"/>
  <c r="Z429" i="2" s="1"/>
  <c r="V430" i="2" l="1"/>
  <c r="Z430" i="2" s="1"/>
  <c r="Y431" i="2"/>
  <c r="Q431" i="2"/>
  <c r="N432" i="2"/>
  <c r="P431" i="2"/>
  <c r="T431" i="2"/>
  <c r="S431" i="2"/>
  <c r="V431" i="2" l="1"/>
  <c r="Z431" i="2" s="1"/>
  <c r="S432" i="2"/>
  <c r="P432" i="2"/>
  <c r="Y432" i="2"/>
  <c r="T432" i="2"/>
  <c r="N433" i="2"/>
  <c r="Q432" i="2"/>
  <c r="Y433" i="2" l="1"/>
  <c r="Q433" i="2"/>
  <c r="T433" i="2"/>
  <c r="S433" i="2"/>
  <c r="N434" i="2"/>
  <c r="P433" i="2"/>
  <c r="V432" i="2"/>
  <c r="Z432" i="2" s="1"/>
  <c r="Y434" i="2" l="1"/>
  <c r="T434" i="2"/>
  <c r="P434" i="2"/>
  <c r="N435" i="2"/>
  <c r="S434" i="2"/>
  <c r="Q434" i="2"/>
  <c r="V433" i="2"/>
  <c r="Z433" i="2" s="1"/>
  <c r="V434" i="2" l="1"/>
  <c r="Z434" i="2" s="1"/>
  <c r="Y435" i="2"/>
  <c r="T435" i="2"/>
  <c r="S435" i="2"/>
  <c r="Q435" i="2"/>
  <c r="N436" i="2"/>
  <c r="P435" i="2"/>
  <c r="V435" i="2" l="1"/>
  <c r="Z435" i="2" s="1"/>
  <c r="N437" i="2"/>
  <c r="Y436" i="2"/>
  <c r="T436" i="2"/>
  <c r="S436" i="2"/>
  <c r="Q436" i="2"/>
  <c r="P436" i="2"/>
  <c r="V436" i="2" l="1"/>
  <c r="Z436" i="2" s="1"/>
  <c r="Y437" i="2"/>
  <c r="T437" i="2"/>
  <c r="S437" i="2"/>
  <c r="Q437" i="2"/>
  <c r="P437" i="2"/>
  <c r="N438" i="2"/>
  <c r="S438" i="2" l="1"/>
  <c r="Y438" i="2"/>
  <c r="Q438" i="2"/>
  <c r="P438" i="2"/>
  <c r="T438" i="2"/>
  <c r="N439" i="2"/>
  <c r="V437" i="2"/>
  <c r="Z437" i="2" s="1"/>
  <c r="Y439" i="2" l="1"/>
  <c r="Q439" i="2"/>
  <c r="N440" i="2"/>
  <c r="T439" i="2"/>
  <c r="S439" i="2"/>
  <c r="P439" i="2"/>
  <c r="V438" i="2"/>
  <c r="Z438" i="2" s="1"/>
  <c r="V439" i="2" l="1"/>
  <c r="Z439" i="2" s="1"/>
  <c r="Y440" i="2"/>
  <c r="N441" i="2"/>
  <c r="T440" i="2"/>
  <c r="S440" i="2"/>
  <c r="Q440" i="2"/>
  <c r="P440" i="2"/>
  <c r="V440" i="2" l="1"/>
  <c r="Z440" i="2" s="1"/>
  <c r="T441" i="2"/>
  <c r="S441" i="2"/>
  <c r="Q441" i="2"/>
  <c r="Y441" i="2"/>
  <c r="N442" i="2"/>
  <c r="P441" i="2"/>
  <c r="Y442" i="2" l="1"/>
  <c r="T442" i="2"/>
  <c r="N443" i="2"/>
  <c r="S442" i="2"/>
  <c r="Q442" i="2"/>
  <c r="P442" i="2"/>
  <c r="V441" i="2"/>
  <c r="Z441" i="2" s="1"/>
  <c r="V442" i="2" l="1"/>
  <c r="Z442" i="2" s="1"/>
  <c r="N444" i="2"/>
  <c r="Y443" i="2"/>
  <c r="S443" i="2"/>
  <c r="Q443" i="2"/>
  <c r="T443" i="2"/>
  <c r="P443" i="2"/>
  <c r="V443" i="2" l="1"/>
  <c r="Z443" i="2" s="1"/>
  <c r="Y444" i="2"/>
  <c r="T444" i="2"/>
  <c r="P444" i="2"/>
  <c r="N445" i="2"/>
  <c r="S444" i="2"/>
  <c r="Q444" i="2"/>
  <c r="V444" i="2" l="1"/>
  <c r="Z444" i="2" s="1"/>
  <c r="N446" i="2"/>
  <c r="Y445" i="2"/>
  <c r="P445" i="2"/>
  <c r="T445" i="2"/>
  <c r="S445" i="2"/>
  <c r="Q445" i="2"/>
  <c r="V445" i="2" l="1"/>
  <c r="Z445" i="2" s="1"/>
  <c r="Y446" i="2"/>
  <c r="S446" i="2"/>
  <c r="Q446" i="2"/>
  <c r="T446" i="2"/>
  <c r="N447" i="2"/>
  <c r="P446" i="2"/>
  <c r="V446" i="2" l="1"/>
  <c r="Z446" i="2" s="1"/>
  <c r="Y447" i="2"/>
  <c r="T447" i="2"/>
  <c r="S447" i="2"/>
  <c r="N448" i="2"/>
  <c r="P447" i="2"/>
  <c r="Q447" i="2"/>
  <c r="V447" i="2" l="1"/>
  <c r="Z447" i="2" s="1"/>
  <c r="Y448" i="2"/>
  <c r="P448" i="2"/>
  <c r="T448" i="2"/>
  <c r="N449" i="2"/>
  <c r="S448" i="2"/>
  <c r="Q448" i="2"/>
  <c r="V448" i="2" l="1"/>
  <c r="Z448" i="2" s="1"/>
  <c r="Y449" i="2"/>
  <c r="S449" i="2"/>
  <c r="T449" i="2"/>
  <c r="P449" i="2"/>
  <c r="N450" i="2"/>
  <c r="Q449" i="2"/>
  <c r="Q450" i="2" l="1"/>
  <c r="Y450" i="2"/>
  <c r="T450" i="2"/>
  <c r="S450" i="2"/>
  <c r="N451" i="2"/>
  <c r="P450" i="2"/>
  <c r="V449" i="2"/>
  <c r="Z449" i="2" s="1"/>
  <c r="Y451" i="2" l="1"/>
  <c r="S451" i="2"/>
  <c r="T451" i="2"/>
  <c r="Q451" i="2"/>
  <c r="N452" i="2"/>
  <c r="P451" i="2"/>
  <c r="V450" i="2"/>
  <c r="Z450" i="2" s="1"/>
  <c r="Y452" i="2" l="1"/>
  <c r="T452" i="2"/>
  <c r="P452" i="2"/>
  <c r="N453" i="2"/>
  <c r="S452" i="2"/>
  <c r="Q452" i="2"/>
  <c r="V451" i="2"/>
  <c r="Z451" i="2" s="1"/>
  <c r="V452" i="2" l="1"/>
  <c r="Z452" i="2" s="1"/>
  <c r="Y453" i="2"/>
  <c r="S453" i="2"/>
  <c r="Q453" i="2"/>
  <c r="T453" i="2"/>
  <c r="P453" i="2"/>
  <c r="N454" i="2"/>
  <c r="Y454" i="2" l="1"/>
  <c r="T454" i="2"/>
  <c r="S454" i="2"/>
  <c r="Q454" i="2"/>
  <c r="P454" i="2"/>
  <c r="N455" i="2"/>
  <c r="V453" i="2"/>
  <c r="Z453" i="2" s="1"/>
  <c r="V454" i="2" l="1"/>
  <c r="Z454" i="2" s="1"/>
  <c r="Q455" i="2"/>
  <c r="N456" i="2"/>
  <c r="Y455" i="2"/>
  <c r="S455" i="2"/>
  <c r="P455" i="2"/>
  <c r="T455" i="2"/>
  <c r="Y456" i="2" l="1"/>
  <c r="P456" i="2"/>
  <c r="N457" i="2"/>
  <c r="T456" i="2"/>
  <c r="S456" i="2"/>
  <c r="Q456" i="2"/>
  <c r="V455" i="2"/>
  <c r="Z455" i="2" s="1"/>
  <c r="V456" i="2" l="1"/>
  <c r="Z456" i="2" s="1"/>
  <c r="Y457" i="2"/>
  <c r="T457" i="2"/>
  <c r="S457" i="2"/>
  <c r="Q457" i="2"/>
  <c r="P457" i="2"/>
  <c r="N458" i="2"/>
  <c r="Y458" i="2" l="1"/>
  <c r="N459" i="2"/>
  <c r="T458" i="2"/>
  <c r="P458" i="2"/>
  <c r="S458" i="2"/>
  <c r="Q458" i="2"/>
  <c r="V457" i="2"/>
  <c r="Z457" i="2" s="1"/>
  <c r="V458" i="2" l="1"/>
  <c r="Z458" i="2" s="1"/>
  <c r="Y459" i="2"/>
  <c r="Q459" i="2"/>
  <c r="T459" i="2"/>
  <c r="S459" i="2"/>
  <c r="N460" i="2"/>
  <c r="P459" i="2"/>
  <c r="V459" i="2" l="1"/>
  <c r="Z459" i="2" s="1"/>
  <c r="Y460" i="2"/>
  <c r="P460" i="2"/>
  <c r="T460" i="2"/>
  <c r="S460" i="2"/>
  <c r="Q460" i="2"/>
  <c r="N461" i="2"/>
  <c r="Y461" i="2" l="1"/>
  <c r="N462" i="2"/>
  <c r="T461" i="2"/>
  <c r="P461" i="2"/>
  <c r="S461" i="2"/>
  <c r="Q461" i="2"/>
  <c r="V460" i="2"/>
  <c r="Z460" i="2" s="1"/>
  <c r="V461" i="2" l="1"/>
  <c r="Z461" i="2" s="1"/>
  <c r="Y462" i="2"/>
  <c r="T462" i="2"/>
  <c r="S462" i="2"/>
  <c r="Q462" i="2"/>
  <c r="P462" i="2"/>
  <c r="N463" i="2"/>
  <c r="Q463" i="2" l="1"/>
  <c r="Y463" i="2"/>
  <c r="P463" i="2"/>
  <c r="T463" i="2"/>
  <c r="S463" i="2"/>
  <c r="N464" i="2"/>
  <c r="V462" i="2"/>
  <c r="Z462" i="2" s="1"/>
  <c r="V463" i="2" l="1"/>
  <c r="Z463" i="2" s="1"/>
  <c r="Q464" i="2"/>
  <c r="N465" i="2"/>
  <c r="Y464" i="2"/>
  <c r="T464" i="2"/>
  <c r="S464" i="2"/>
  <c r="P464" i="2"/>
  <c r="Y465" i="2" l="1"/>
  <c r="Q465" i="2"/>
  <c r="T465" i="2"/>
  <c r="N466" i="2"/>
  <c r="S465" i="2"/>
  <c r="P465" i="2"/>
  <c r="V464" i="2"/>
  <c r="Z464" i="2" s="1"/>
  <c r="Y466" i="2" l="1"/>
  <c r="T466" i="2"/>
  <c r="P466" i="2"/>
  <c r="N467" i="2"/>
  <c r="S466" i="2"/>
  <c r="Q466" i="2"/>
  <c r="V465" i="2"/>
  <c r="Z465" i="2" s="1"/>
  <c r="V466" i="2" l="1"/>
  <c r="Z466" i="2" s="1"/>
  <c r="Y467" i="2"/>
  <c r="N468" i="2"/>
  <c r="P467" i="2"/>
  <c r="T467" i="2"/>
  <c r="S467" i="2"/>
  <c r="Q467" i="2"/>
  <c r="P468" i="2" l="1"/>
  <c r="Y468" i="2"/>
  <c r="Q468" i="2"/>
  <c r="T468" i="2"/>
  <c r="S468" i="2"/>
  <c r="N469" i="2"/>
  <c r="V467" i="2"/>
  <c r="Z467" i="2" s="1"/>
  <c r="V468" i="2" l="1"/>
  <c r="Z468" i="2" s="1"/>
  <c r="Y469" i="2"/>
  <c r="N470" i="2"/>
  <c r="T469" i="2"/>
  <c r="P469" i="2"/>
  <c r="S469" i="2"/>
  <c r="Q469" i="2"/>
  <c r="V469" i="2" l="1"/>
  <c r="Z469" i="2" s="1"/>
  <c r="Y470" i="2"/>
  <c r="P470" i="2"/>
  <c r="T470" i="2"/>
  <c r="S470" i="2"/>
  <c r="Q470" i="2"/>
  <c r="N471" i="2"/>
  <c r="Y471" i="2" l="1"/>
  <c r="T471" i="2"/>
  <c r="S471" i="2"/>
  <c r="N472" i="2"/>
  <c r="P471" i="2"/>
  <c r="Q471" i="2"/>
  <c r="V470" i="2"/>
  <c r="Z470" i="2" s="1"/>
  <c r="Y472" i="2" l="1"/>
  <c r="T472" i="2"/>
  <c r="S472" i="2"/>
  <c r="P472" i="2"/>
  <c r="N473" i="2"/>
  <c r="Q472" i="2"/>
  <c r="V471" i="2"/>
  <c r="Z471" i="2" s="1"/>
  <c r="T473" i="2" l="1"/>
  <c r="S473" i="2"/>
  <c r="Y473" i="2"/>
  <c r="Q473" i="2"/>
  <c r="P473" i="2"/>
  <c r="N474" i="2"/>
  <c r="V472" i="2"/>
  <c r="Z472" i="2" s="1"/>
  <c r="Y474" i="2" l="1"/>
  <c r="T474" i="2"/>
  <c r="S474" i="2"/>
  <c r="Q474" i="2"/>
  <c r="P474" i="2"/>
  <c r="N475" i="2"/>
  <c r="V473" i="2"/>
  <c r="Z473" i="2" s="1"/>
  <c r="Y475" i="2" l="1"/>
  <c r="N476" i="2"/>
  <c r="T475" i="2"/>
  <c r="S475" i="2"/>
  <c r="Q475" i="2"/>
  <c r="P475" i="2"/>
  <c r="V474" i="2"/>
  <c r="Z474" i="2" s="1"/>
  <c r="V475" i="2" l="1"/>
  <c r="Z475" i="2" s="1"/>
  <c r="T476" i="2"/>
  <c r="Y476" i="2"/>
  <c r="Q476" i="2"/>
  <c r="P476" i="2"/>
  <c r="S476" i="2"/>
  <c r="N477" i="2"/>
  <c r="Y477" i="2" l="1"/>
  <c r="N478" i="2"/>
  <c r="T477" i="2"/>
  <c r="S477" i="2"/>
  <c r="P477" i="2"/>
  <c r="Q477" i="2"/>
  <c r="V476" i="2"/>
  <c r="Z476" i="2" s="1"/>
  <c r="V477" i="2" l="1"/>
  <c r="Z477" i="2" s="1"/>
  <c r="Y478" i="2"/>
  <c r="Q478" i="2"/>
  <c r="P478" i="2"/>
  <c r="T478" i="2"/>
  <c r="S478" i="2"/>
  <c r="N479" i="2"/>
  <c r="V478" i="2" l="1"/>
  <c r="Z478" i="2" s="1"/>
  <c r="T479" i="2"/>
  <c r="Q479" i="2"/>
  <c r="S479" i="2"/>
  <c r="N480" i="2"/>
  <c r="Y479" i="2"/>
  <c r="P479" i="2"/>
  <c r="Y480" i="2" l="1"/>
  <c r="Q480" i="2"/>
  <c r="P480" i="2"/>
  <c r="T480" i="2"/>
  <c r="S480" i="2"/>
  <c r="N481" i="2"/>
  <c r="V479" i="2"/>
  <c r="Z479" i="2" s="1"/>
  <c r="V480" i="2" l="1"/>
  <c r="Z480" i="2" s="1"/>
  <c r="Y481" i="2"/>
  <c r="S481" i="2"/>
  <c r="N482" i="2"/>
  <c r="T481" i="2"/>
  <c r="Q481" i="2"/>
  <c r="P481" i="2"/>
  <c r="Y482" i="2" l="1"/>
  <c r="S482" i="2"/>
  <c r="T482" i="2"/>
  <c r="P482" i="2"/>
  <c r="Q482" i="2"/>
  <c r="N483" i="2"/>
  <c r="V481" i="2"/>
  <c r="Z481" i="2" s="1"/>
  <c r="S483" i="2" l="1"/>
  <c r="Q483" i="2"/>
  <c r="Y483" i="2"/>
  <c r="P483" i="2"/>
  <c r="T483" i="2"/>
  <c r="N484" i="2"/>
  <c r="V482" i="2"/>
  <c r="Z482" i="2" s="1"/>
  <c r="Y484" i="2" l="1"/>
  <c r="S484" i="2"/>
  <c r="Q484" i="2"/>
  <c r="T484" i="2"/>
  <c r="P484" i="2"/>
  <c r="N485" i="2"/>
  <c r="V483" i="2"/>
  <c r="Z483" i="2" s="1"/>
  <c r="P485" i="2" l="1"/>
  <c r="N486" i="2"/>
  <c r="Y485" i="2"/>
  <c r="T485" i="2"/>
  <c r="S485" i="2"/>
  <c r="Q485" i="2"/>
  <c r="V484" i="2"/>
  <c r="Z484" i="2" s="1"/>
  <c r="V485" i="2" l="1"/>
  <c r="Z485" i="2" s="1"/>
  <c r="Y486" i="2"/>
  <c r="T486" i="2"/>
  <c r="N487" i="2"/>
  <c r="S486" i="2"/>
  <c r="Q486" i="2"/>
  <c r="P486" i="2"/>
  <c r="V486" i="2" l="1"/>
  <c r="Z486" i="2" s="1"/>
  <c r="Q487" i="2"/>
  <c r="N488" i="2"/>
  <c r="P487" i="2"/>
  <c r="Y487" i="2"/>
  <c r="T487" i="2"/>
  <c r="S487" i="2"/>
  <c r="V487" i="2" l="1"/>
  <c r="Z487" i="2" s="1"/>
  <c r="S488" i="2"/>
  <c r="Q488" i="2"/>
  <c r="Y488" i="2"/>
  <c r="P488" i="2"/>
  <c r="T488" i="2"/>
  <c r="N489" i="2"/>
  <c r="T489" i="2" l="1"/>
  <c r="Y489" i="2"/>
  <c r="S489" i="2"/>
  <c r="N490" i="2"/>
  <c r="Q489" i="2"/>
  <c r="P489" i="2"/>
  <c r="V488" i="2"/>
  <c r="Z488" i="2" s="1"/>
  <c r="V489" i="2" l="1"/>
  <c r="Z489" i="2" s="1"/>
  <c r="Y490" i="2"/>
  <c r="T490" i="2"/>
  <c r="S490" i="2"/>
  <c r="P490" i="2"/>
  <c r="Q490" i="2"/>
  <c r="N491" i="2"/>
  <c r="V490" i="2" l="1"/>
  <c r="Z490" i="2" s="1"/>
  <c r="Y491" i="2"/>
  <c r="Q491" i="2"/>
  <c r="T491" i="2"/>
  <c r="S491" i="2"/>
  <c r="N492" i="2"/>
  <c r="P491" i="2"/>
  <c r="V491" i="2" l="1"/>
  <c r="Z491" i="2" s="1"/>
  <c r="P492" i="2"/>
  <c r="Y492" i="2"/>
  <c r="T492" i="2"/>
  <c r="N493" i="2"/>
  <c r="S492" i="2"/>
  <c r="Q492" i="2"/>
  <c r="Y493" i="2" l="1"/>
  <c r="T493" i="2"/>
  <c r="P493" i="2"/>
  <c r="N494" i="2"/>
  <c r="S493" i="2"/>
  <c r="Q493" i="2"/>
  <c r="V492" i="2"/>
  <c r="Z492" i="2" s="1"/>
  <c r="V493" i="2" l="1"/>
  <c r="Z493" i="2" s="1"/>
  <c r="Y494" i="2"/>
  <c r="Q494" i="2"/>
  <c r="P494" i="2"/>
  <c r="N495" i="2"/>
  <c r="T494" i="2"/>
  <c r="S494" i="2"/>
  <c r="V494" i="2" l="1"/>
  <c r="Z494" i="2" s="1"/>
  <c r="Y495" i="2"/>
  <c r="P495" i="2"/>
  <c r="T495" i="2"/>
  <c r="S495" i="2"/>
  <c r="Q495" i="2"/>
  <c r="N496" i="2"/>
  <c r="Y496" i="2" l="1"/>
  <c r="P496" i="2"/>
  <c r="N497" i="2"/>
  <c r="T496" i="2"/>
  <c r="Q496" i="2"/>
  <c r="S496" i="2"/>
  <c r="V495" i="2"/>
  <c r="Z495" i="2" s="1"/>
  <c r="V496" i="2" l="1"/>
  <c r="Z496" i="2" s="1"/>
  <c r="Y497" i="2"/>
  <c r="S497" i="2"/>
  <c r="Q497" i="2"/>
  <c r="N498" i="2"/>
  <c r="T497" i="2"/>
  <c r="P497" i="2"/>
  <c r="V497" i="2" l="1"/>
  <c r="Z497" i="2" s="1"/>
  <c r="Y498" i="2"/>
  <c r="P498" i="2"/>
  <c r="T498" i="2"/>
  <c r="S498" i="2"/>
  <c r="Q498" i="2"/>
  <c r="N499" i="2"/>
  <c r="V498" i="2" l="1"/>
  <c r="Z498" i="2" s="1"/>
  <c r="Q499" i="2"/>
  <c r="Y499" i="2"/>
  <c r="T499" i="2"/>
  <c r="S499" i="2"/>
  <c r="N500" i="2"/>
  <c r="N3" i="2" s="1"/>
  <c r="P499" i="2"/>
  <c r="Y500" i="2" l="1"/>
  <c r="T500" i="2"/>
  <c r="S500" i="2"/>
  <c r="Q500" i="2"/>
  <c r="P500" i="2"/>
  <c r="V499" i="2"/>
  <c r="Z499" i="2" s="1"/>
  <c r="V500" i="2" l="1"/>
  <c r="Z500" i="2" s="1"/>
</calcChain>
</file>

<file path=xl/sharedStrings.xml><?xml version="1.0" encoding="utf-8"?>
<sst xmlns="http://schemas.openxmlformats.org/spreadsheetml/2006/main" count="22" uniqueCount="16">
  <si>
    <t>point_index</t>
  </si>
  <si>
    <t>px_x</t>
  </si>
  <si>
    <t>px_y</t>
  </si>
  <si>
    <t>data_x</t>
  </si>
  <si>
    <t>data_y</t>
  </si>
  <si>
    <t>time(sec)</t>
  </si>
  <si>
    <t>flow (mL/sec)</t>
  </si>
  <si>
    <t>Sampling Freq:</t>
  </si>
  <si>
    <t>Hz</t>
  </si>
  <si>
    <t>Next Lowest</t>
  </si>
  <si>
    <t>Next Highest</t>
  </si>
  <si>
    <t>Interpolated</t>
  </si>
  <si>
    <t>Flow (mL/sec)</t>
  </si>
  <si>
    <t>Alvarez ML, Arjona L, Jojoa-Acosta M, Bahillo A. Flow prediction in sound-based uroflowmetry. Sci Rep. 2025 Jan 3;15(1):643. doi: 10.1038/s41598-024-84978-w. Erratum in: Sci Rep. 2025 Feb 10;15(1):4988. doi: 10.1038/s41598-025-89173-z. PMID: 39753897; PMCID: PMC11699153.</t>
  </si>
  <si>
    <t>digitized waveform in Figure 1</t>
  </si>
  <si>
    <t>using WebplotDigitizer (https://automeris.io/wpd/)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</si>
</sst>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 applyAlignment="1">
      <alignment wrapText="1"/>
    </xf>
    <xf numFmtId="0" fontId="0" fillId="33" borderId="10" xfId="0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3130939832397E-2"/>
          <c:y val="3.6545647288134177E-2"/>
          <c:w val="0.94111592687418877"/>
          <c:h val="0.8503677867026942"/>
        </c:manualLayout>
      </c:layout>
      <c:scatterChart>
        <c:scatterStyle val="lineMarker"/>
        <c:varyColors val="0"/>
        <c:ser>
          <c:idx val="0"/>
          <c:order val="0"/>
          <c:tx>
            <c:strRef>
              <c:f>RawData!$C$6</c:f>
              <c:strCache>
                <c:ptCount val="1"/>
                <c:pt idx="0">
                  <c:v>flow (mL/sec)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RawData!$B$7:$B$143</c:f>
              <c:numCache>
                <c:formatCode>General</c:formatCode>
                <c:ptCount val="137"/>
                <c:pt idx="0">
                  <c:v>1.3709414181755299</c:v>
                </c:pt>
                <c:pt idx="1">
                  <c:v>2.0157063036423999</c:v>
                </c:pt>
                <c:pt idx="2">
                  <c:v>2.0934697874464701</c:v>
                </c:pt>
                <c:pt idx="3">
                  <c:v>2.6512547762139702</c:v>
                </c:pt>
                <c:pt idx="4">
                  <c:v>2.72844223421209</c:v>
                </c:pt>
                <c:pt idx="5">
                  <c:v>3.0475605307117699</c:v>
                </c:pt>
                <c:pt idx="6">
                  <c:v>3.44405829381156</c:v>
                </c:pt>
                <c:pt idx="7">
                  <c:v>3.5210537432076898</c:v>
                </c:pt>
                <c:pt idx="8">
                  <c:v>3.67773276242775</c:v>
                </c:pt>
                <c:pt idx="9">
                  <c:v>3.9087191106161501</c:v>
                </c:pt>
                <c:pt idx="10">
                  <c:v>4.31731341564101</c:v>
                </c:pt>
                <c:pt idx="11">
                  <c:v>4.4663120907816598</c:v>
                </c:pt>
                <c:pt idx="12">
                  <c:v>4.6354716691307702</c:v>
                </c:pt>
                <c:pt idx="13">
                  <c:v>5.2656439008467499</c:v>
                </c:pt>
                <c:pt idx="14">
                  <c:v>5.5991628424953399</c:v>
                </c:pt>
                <c:pt idx="15">
                  <c:v>5.75238570687966</c:v>
                </c:pt>
                <c:pt idx="16">
                  <c:v>5.9971966744110103</c:v>
                </c:pt>
                <c:pt idx="17">
                  <c:v>6.0670878055336797</c:v>
                </c:pt>
                <c:pt idx="18">
                  <c:v>6.3151629192987802</c:v>
                </c:pt>
                <c:pt idx="19">
                  <c:v>6.4687698008870704</c:v>
                </c:pt>
                <c:pt idx="20">
                  <c:v>6.7978725446899997</c:v>
                </c:pt>
                <c:pt idx="21">
                  <c:v>6.9543595553080699</c:v>
                </c:pt>
                <c:pt idx="22">
                  <c:v>7.1104625487221798</c:v>
                </c:pt>
                <c:pt idx="23">
                  <c:v>7.4278527678039898</c:v>
                </c:pt>
                <c:pt idx="24">
                  <c:v>7.6820721568326196</c:v>
                </c:pt>
                <c:pt idx="25">
                  <c:v>7.9954301952727498</c:v>
                </c:pt>
                <c:pt idx="26">
                  <c:v>8.16958199727347</c:v>
                </c:pt>
                <c:pt idx="27">
                  <c:v>8.3982642422380493</c:v>
                </c:pt>
                <c:pt idx="28">
                  <c:v>8.57491215606459</c:v>
                </c:pt>
                <c:pt idx="29">
                  <c:v>8.8158829515562296</c:v>
                </c:pt>
                <c:pt idx="30">
                  <c:v>9.0509014803863206</c:v>
                </c:pt>
                <c:pt idx="31">
                  <c:v>9.2997446285593597</c:v>
                </c:pt>
                <c:pt idx="32">
                  <c:v>9.5366832434092998</c:v>
                </c:pt>
                <c:pt idx="33">
                  <c:v>9.6190549336610207</c:v>
                </c:pt>
                <c:pt idx="34">
                  <c:v>9.8596417119486901</c:v>
                </c:pt>
                <c:pt idx="35">
                  <c:v>9.9508457978917395</c:v>
                </c:pt>
                <c:pt idx="36">
                  <c:v>10.347919586797399</c:v>
                </c:pt>
                <c:pt idx="37">
                  <c:v>10.499606382365901</c:v>
                </c:pt>
                <c:pt idx="38">
                  <c:v>10.822948868109201</c:v>
                </c:pt>
                <c:pt idx="39">
                  <c:v>11.079856377565701</c:v>
                </c:pt>
                <c:pt idx="40">
                  <c:v>11.4830744417349</c:v>
                </c:pt>
                <c:pt idx="41">
                  <c:v>11.8801482306407</c:v>
                </c:pt>
                <c:pt idx="42">
                  <c:v>12.2088669572396</c:v>
                </c:pt>
                <c:pt idx="43">
                  <c:v>12.540465812868399</c:v>
                </c:pt>
                <c:pt idx="44">
                  <c:v>12.9358115243562</c:v>
                </c:pt>
                <c:pt idx="45">
                  <c:v>13.345941898196999</c:v>
                </c:pt>
                <c:pt idx="46">
                  <c:v>13.661988057064899</c:v>
                </c:pt>
                <c:pt idx="47">
                  <c:v>13.9054549643824</c:v>
                </c:pt>
                <c:pt idx="48">
                  <c:v>14.151802000729599</c:v>
                </c:pt>
                <c:pt idx="49">
                  <c:v>14.3872045467636</c:v>
                </c:pt>
                <c:pt idx="50">
                  <c:v>14.801943127052001</c:v>
                </c:pt>
                <c:pt idx="51">
                  <c:v>15.4390276684395</c:v>
                </c:pt>
                <c:pt idx="52">
                  <c:v>15.446131986713</c:v>
                </c:pt>
                <c:pt idx="53">
                  <c:v>15.767170369232501</c:v>
                </c:pt>
                <c:pt idx="54">
                  <c:v>15.772162592884101</c:v>
                </c:pt>
                <c:pt idx="55">
                  <c:v>16.248727943011801</c:v>
                </c:pt>
                <c:pt idx="56">
                  <c:v>16.264088631170601</c:v>
                </c:pt>
                <c:pt idx="57">
                  <c:v>16.817649430694399</c:v>
                </c:pt>
                <c:pt idx="58">
                  <c:v>16.983160845605799</c:v>
                </c:pt>
                <c:pt idx="59">
                  <c:v>17.228355830341201</c:v>
                </c:pt>
                <c:pt idx="60">
                  <c:v>17.3854188667652</c:v>
                </c:pt>
                <c:pt idx="61">
                  <c:v>17.635030049346199</c:v>
                </c:pt>
                <c:pt idx="62">
                  <c:v>17.9535723200399</c:v>
                </c:pt>
                <c:pt idx="63">
                  <c:v>18.2006873907951</c:v>
                </c:pt>
                <c:pt idx="64">
                  <c:v>18.4355139110232</c:v>
                </c:pt>
                <c:pt idx="65">
                  <c:v>18.769416869875698</c:v>
                </c:pt>
                <c:pt idx="66">
                  <c:v>19.167642710393402</c:v>
                </c:pt>
                <c:pt idx="67">
                  <c:v>19.333538142508701</c:v>
                </c:pt>
                <c:pt idx="68">
                  <c:v>19.657840671262001</c:v>
                </c:pt>
                <c:pt idx="69">
                  <c:v>19.812791613064199</c:v>
                </c:pt>
                <c:pt idx="70">
                  <c:v>20.136134098807599</c:v>
                </c:pt>
                <c:pt idx="71">
                  <c:v>20.382289126552799</c:v>
                </c:pt>
                <c:pt idx="72">
                  <c:v>20.468500988844301</c:v>
                </c:pt>
                <c:pt idx="73">
                  <c:v>20.8684549067798</c:v>
                </c:pt>
                <c:pt idx="74">
                  <c:v>21.185845125861601</c:v>
                </c:pt>
                <c:pt idx="75">
                  <c:v>21.5105316718188</c:v>
                </c:pt>
                <c:pt idx="76">
                  <c:v>21.828689925308598</c:v>
                </c:pt>
                <c:pt idx="77">
                  <c:v>22.161632841151199</c:v>
                </c:pt>
                <c:pt idx="78">
                  <c:v>22.397227395787301</c:v>
                </c:pt>
                <c:pt idx="79">
                  <c:v>22.804861657802199</c:v>
                </c:pt>
                <c:pt idx="80">
                  <c:v>22.964228797450101</c:v>
                </c:pt>
                <c:pt idx="81">
                  <c:v>23.1322363241873</c:v>
                </c:pt>
                <c:pt idx="82">
                  <c:v>23.4523146636969</c:v>
                </c:pt>
                <c:pt idx="83">
                  <c:v>23.778921295673999</c:v>
                </c:pt>
                <c:pt idx="84">
                  <c:v>24.2599028436473</c:v>
                </c:pt>
                <c:pt idx="85">
                  <c:v>24.576909045525198</c:v>
                </c:pt>
                <c:pt idx="86">
                  <c:v>25.234538507325102</c:v>
                </c:pt>
                <c:pt idx="87">
                  <c:v>25.556536932854499</c:v>
                </c:pt>
                <c:pt idx="88">
                  <c:v>25.7203202703481</c:v>
                </c:pt>
                <c:pt idx="89">
                  <c:v>25.965899272287398</c:v>
                </c:pt>
                <c:pt idx="90">
                  <c:v>26.120082179681599</c:v>
                </c:pt>
                <c:pt idx="91">
                  <c:v>26.7686872371882</c:v>
                </c:pt>
                <c:pt idx="92">
                  <c:v>26.8468347381962</c:v>
                </c:pt>
                <c:pt idx="93">
                  <c:v>27.241412415276201</c:v>
                </c:pt>
                <c:pt idx="94">
                  <c:v>27.4889115032353</c:v>
                </c:pt>
                <c:pt idx="95">
                  <c:v>27.810525911560799</c:v>
                </c:pt>
                <c:pt idx="96">
                  <c:v>27.968548990994702</c:v>
                </c:pt>
                <c:pt idx="97">
                  <c:v>28.460475029281302</c:v>
                </c:pt>
                <c:pt idx="98">
                  <c:v>28.619458151725102</c:v>
                </c:pt>
                <c:pt idx="99">
                  <c:v>29.272287398475399</c:v>
                </c:pt>
                <c:pt idx="100">
                  <c:v>29.432614581133201</c:v>
                </c:pt>
                <c:pt idx="101">
                  <c:v>29.668401144371199</c:v>
                </c:pt>
                <c:pt idx="102">
                  <c:v>30.3123979954301</c:v>
                </c:pt>
                <c:pt idx="103">
                  <c:v>30.3156621416639</c:v>
                </c:pt>
                <c:pt idx="104">
                  <c:v>30.962923138956601</c:v>
                </c:pt>
                <c:pt idx="105">
                  <c:v>31.2015898312244</c:v>
                </c:pt>
                <c:pt idx="106">
                  <c:v>31.361917013882199</c:v>
                </c:pt>
                <c:pt idx="107">
                  <c:v>31.929878458554899</c:v>
                </c:pt>
                <c:pt idx="108">
                  <c:v>32.093853804650401</c:v>
                </c:pt>
                <c:pt idx="109">
                  <c:v>32.491119602158101</c:v>
                </c:pt>
                <c:pt idx="110">
                  <c:v>32.974981279161298</c:v>
                </c:pt>
                <c:pt idx="111">
                  <c:v>33.221328315508501</c:v>
                </c:pt>
                <c:pt idx="112">
                  <c:v>33.782377450509699</c:v>
                </c:pt>
                <c:pt idx="113">
                  <c:v>33.945584762197299</c:v>
                </c:pt>
                <c:pt idx="114">
                  <c:v>34.266815153318802</c:v>
                </c:pt>
                <c:pt idx="115">
                  <c:v>34.674449415333797</c:v>
                </c:pt>
                <c:pt idx="116">
                  <c:v>35.073443290259398</c:v>
                </c:pt>
                <c:pt idx="117">
                  <c:v>35.396017741594797</c:v>
                </c:pt>
                <c:pt idx="118">
                  <c:v>35.802691960599802</c:v>
                </c:pt>
                <c:pt idx="119">
                  <c:v>36.122962308711401</c:v>
                </c:pt>
                <c:pt idx="120">
                  <c:v>36.524068278258802</c:v>
                </c:pt>
                <c:pt idx="121">
                  <c:v>36.764271039342503</c:v>
                </c:pt>
                <c:pt idx="122">
                  <c:v>37.249092759355598</c:v>
                </c:pt>
                <c:pt idx="123">
                  <c:v>37.494095735488898</c:v>
                </c:pt>
                <c:pt idx="124">
                  <c:v>37.896353756648203</c:v>
                </c:pt>
                <c:pt idx="125">
                  <c:v>38.218352182177703</c:v>
                </c:pt>
                <c:pt idx="126">
                  <c:v>38.5459188571648</c:v>
                </c:pt>
                <c:pt idx="127">
                  <c:v>38.948176878324098</c:v>
                </c:pt>
                <c:pt idx="128">
                  <c:v>38.950672990149897</c:v>
                </c:pt>
                <c:pt idx="129">
                  <c:v>39.432230563929203</c:v>
                </c:pt>
                <c:pt idx="130">
                  <c:v>39.434918684357001</c:v>
                </c:pt>
                <c:pt idx="131">
                  <c:v>40.079683569823899</c:v>
                </c:pt>
                <c:pt idx="132">
                  <c:v>40.562201186613102</c:v>
                </c:pt>
                <c:pt idx="133">
                  <c:v>41.367677271941702</c:v>
                </c:pt>
                <c:pt idx="134">
                  <c:v>41.369981375165601</c:v>
                </c:pt>
                <c:pt idx="135">
                  <c:v>41.608072041627402</c:v>
                </c:pt>
                <c:pt idx="136">
                  <c:v>42.257061116338001</c:v>
                </c:pt>
              </c:numCache>
            </c:numRef>
          </c:xVal>
          <c:yVal>
            <c:numRef>
              <c:f>RawData!$C$7:$C$143</c:f>
              <c:numCache>
                <c:formatCode>General</c:formatCode>
                <c:ptCount val="137"/>
                <c:pt idx="0">
                  <c:v>6.5282924675003004E-3</c:v>
                </c:pt>
                <c:pt idx="1">
                  <c:v>0.10483669668401401</c:v>
                </c:pt>
                <c:pt idx="2">
                  <c:v>0.81949271327355699</c:v>
                </c:pt>
                <c:pt idx="3">
                  <c:v>2.4888154989343501</c:v>
                </c:pt>
                <c:pt idx="4">
                  <c:v>3.3463259154010099</c:v>
                </c:pt>
                <c:pt idx="5">
                  <c:v>4.2049883834795798</c:v>
                </c:pt>
                <c:pt idx="6">
                  <c:v>5.8735431347324303</c:v>
                </c:pt>
                <c:pt idx="7">
                  <c:v>6.7786716844914601</c:v>
                </c:pt>
                <c:pt idx="8">
                  <c:v>7.9222749179163197</c:v>
                </c:pt>
                <c:pt idx="9">
                  <c:v>10.6376605671934</c:v>
                </c:pt>
                <c:pt idx="10">
                  <c:v>9.30627292102686</c:v>
                </c:pt>
                <c:pt idx="11">
                  <c:v>12.3546014861465</c:v>
                </c:pt>
                <c:pt idx="12">
                  <c:v>10.403026055567199</c:v>
                </c:pt>
                <c:pt idx="13">
                  <c:v>14.120312590004</c:v>
                </c:pt>
                <c:pt idx="14">
                  <c:v>11.407615061154701</c:v>
                </c:pt>
                <c:pt idx="15">
                  <c:v>13.408344693842199</c:v>
                </c:pt>
                <c:pt idx="16">
                  <c:v>12.6952247460686</c:v>
                </c:pt>
                <c:pt idx="17">
                  <c:v>15.362224227645299</c:v>
                </c:pt>
                <c:pt idx="18">
                  <c:v>13.839596013901399</c:v>
                </c:pt>
                <c:pt idx="19">
                  <c:v>15.745089380004201</c:v>
                </c:pt>
                <c:pt idx="20">
                  <c:v>14.127608916879399</c:v>
                </c:pt>
                <c:pt idx="21">
                  <c:v>15.3188302835967</c:v>
                </c:pt>
                <c:pt idx="22">
                  <c:v>16.6052879168986</c:v>
                </c:pt>
                <c:pt idx="23">
                  <c:v>17.892513584608501</c:v>
                </c:pt>
                <c:pt idx="24">
                  <c:v>14.8461051055087</c:v>
                </c:pt>
                <c:pt idx="25">
                  <c:v>17.133311572358402</c:v>
                </c:pt>
                <c:pt idx="26">
                  <c:v>13.9436646761774</c:v>
                </c:pt>
                <c:pt idx="27">
                  <c:v>17.230467924963001</c:v>
                </c:pt>
                <c:pt idx="28">
                  <c:v>13.4217852959812</c:v>
                </c:pt>
                <c:pt idx="29">
                  <c:v>13.661028014055001</c:v>
                </c:pt>
                <c:pt idx="30">
                  <c:v>15.376432864192299</c:v>
                </c:pt>
                <c:pt idx="31">
                  <c:v>13.6633321172788</c:v>
                </c:pt>
                <c:pt idx="32">
                  <c:v>14.9025556344924</c:v>
                </c:pt>
                <c:pt idx="33">
                  <c:v>14.474376452065</c:v>
                </c:pt>
                <c:pt idx="34">
                  <c:v>14.808855436723499</c:v>
                </c:pt>
                <c:pt idx="35">
                  <c:v>12.190242122847099</c:v>
                </c:pt>
                <c:pt idx="36">
                  <c:v>13.7159424742228</c:v>
                </c:pt>
                <c:pt idx="37">
                  <c:v>16.097617173249301</c:v>
                </c:pt>
                <c:pt idx="38">
                  <c:v>15.9086807088957</c:v>
                </c:pt>
                <c:pt idx="39">
                  <c:v>12.1956183637026</c:v>
                </c:pt>
                <c:pt idx="40">
                  <c:v>12.197538449722501</c:v>
                </c:pt>
                <c:pt idx="41">
                  <c:v>13.7232388010982</c:v>
                </c:pt>
                <c:pt idx="42">
                  <c:v>12.200994604558201</c:v>
                </c:pt>
                <c:pt idx="43">
                  <c:v>9.9644784086327007</c:v>
                </c:pt>
                <c:pt idx="44">
                  <c:v>11.9187419596397</c:v>
                </c:pt>
                <c:pt idx="45">
                  <c:v>10.2064092471342</c:v>
                </c:pt>
                <c:pt idx="46">
                  <c:v>11.826961847890701</c:v>
                </c:pt>
                <c:pt idx="47">
                  <c:v>11.447168833163699</c:v>
                </c:pt>
                <c:pt idx="48">
                  <c:v>10.353103819051</c:v>
                </c:pt>
                <c:pt idx="49">
                  <c:v>11.9732724026036</c:v>
                </c:pt>
                <c:pt idx="50">
                  <c:v>9.1181044910811995</c:v>
                </c:pt>
                <c:pt idx="51">
                  <c:v>11.1211382269925</c:v>
                </c:pt>
                <c:pt idx="52">
                  <c:v>9.3592672951748206</c:v>
                </c:pt>
                <c:pt idx="53">
                  <c:v>9.74174843032967</c:v>
                </c:pt>
                <c:pt idx="54">
                  <c:v>8.5036769647280206</c:v>
                </c:pt>
                <c:pt idx="55">
                  <c:v>10.315470133061901</c:v>
                </c:pt>
                <c:pt idx="56">
                  <c:v>6.50601946967224</c:v>
                </c:pt>
                <c:pt idx="57">
                  <c:v>9.2229411877652101</c:v>
                </c:pt>
                <c:pt idx="58">
                  <c:v>8.1761102897409792</c:v>
                </c:pt>
                <c:pt idx="59">
                  <c:v>7.3677540753825701</c:v>
                </c:pt>
                <c:pt idx="60">
                  <c:v>8.4161210422226898</c:v>
                </c:pt>
                <c:pt idx="61">
                  <c:v>6.5125477621397403</c:v>
                </c:pt>
                <c:pt idx="62">
                  <c:v>7.5140646300954197</c:v>
                </c:pt>
                <c:pt idx="63">
                  <c:v>6.2295270828133003</c:v>
                </c:pt>
                <c:pt idx="64">
                  <c:v>7.99255006624296</c:v>
                </c:pt>
                <c:pt idx="65">
                  <c:v>5.1846162708089301</c:v>
                </c:pt>
                <c:pt idx="66">
                  <c:v>6.4246078224304402</c:v>
                </c:pt>
                <c:pt idx="67">
                  <c:v>5.2825406578214702</c:v>
                </c:pt>
                <c:pt idx="68">
                  <c:v>4.8555135270060097</c:v>
                </c:pt>
                <c:pt idx="69">
                  <c:v>6.4276799600622097</c:v>
                </c:pt>
                <c:pt idx="70">
                  <c:v>6.2387434957085999</c:v>
                </c:pt>
                <c:pt idx="71">
                  <c:v>5.19229661488834</c:v>
                </c:pt>
                <c:pt idx="72">
                  <c:v>3.8117547666135398</c:v>
                </c:pt>
                <c:pt idx="73">
                  <c:v>4.62318311860371</c:v>
                </c:pt>
                <c:pt idx="74">
                  <c:v>5.9104087863136199</c:v>
                </c:pt>
                <c:pt idx="75">
                  <c:v>5.3881453889134203</c:v>
                </c:pt>
                <c:pt idx="76">
                  <c:v>6.4848985234538503</c:v>
                </c:pt>
                <c:pt idx="77">
                  <c:v>3.9150553944816702</c:v>
                </c:pt>
                <c:pt idx="78">
                  <c:v>5.4876058447418403</c:v>
                </c:pt>
                <c:pt idx="79">
                  <c:v>4.39430886503715</c:v>
                </c:pt>
                <c:pt idx="80">
                  <c:v>4.8712582323688096</c:v>
                </c:pt>
                <c:pt idx="81">
                  <c:v>3.20539160154375</c:v>
                </c:pt>
                <c:pt idx="82">
                  <c:v>3.8259634031604599</c:v>
                </c:pt>
                <c:pt idx="83">
                  <c:v>2.8275186728365398</c:v>
                </c:pt>
                <c:pt idx="84">
                  <c:v>3.54409477544593</c:v>
                </c:pt>
                <c:pt idx="85">
                  <c:v>4.9265567097405896</c:v>
                </c:pt>
                <c:pt idx="86">
                  <c:v>1.8344501833682101</c:v>
                </c:pt>
                <c:pt idx="87">
                  <c:v>1.9788406520612101</c:v>
                </c:pt>
                <c:pt idx="88">
                  <c:v>1.36057295366832</c:v>
                </c:pt>
                <c:pt idx="89">
                  <c:v>0.456980472725177</c:v>
                </c:pt>
                <c:pt idx="90">
                  <c:v>2.2196194389508599</c:v>
                </c:pt>
                <c:pt idx="91">
                  <c:v>1.36556517731994</c:v>
                </c:pt>
                <c:pt idx="92">
                  <c:v>1.98498492732474</c:v>
                </c:pt>
                <c:pt idx="93">
                  <c:v>4.1297210115013101</c:v>
                </c:pt>
                <c:pt idx="94">
                  <c:v>2.7499471976344498</c:v>
                </c:pt>
                <c:pt idx="95">
                  <c:v>2.9895739329121902</c:v>
                </c:pt>
                <c:pt idx="96">
                  <c:v>3.79985023329044</c:v>
                </c:pt>
                <c:pt idx="97">
                  <c:v>1.8021927382346701</c:v>
                </c:pt>
                <c:pt idx="98">
                  <c:v>2.3743783721510701</c:v>
                </c:pt>
                <c:pt idx="99">
                  <c:v>0.47272517808797598</c:v>
                </c:pt>
                <c:pt idx="100">
                  <c:v>0.71158387895777797</c:v>
                </c:pt>
                <c:pt idx="101">
                  <c:v>2.2365161959255699</c:v>
                </c:pt>
                <c:pt idx="102">
                  <c:v>2.5252971333115601</c:v>
                </c:pt>
                <c:pt idx="103">
                  <c:v>1.71578886734125</c:v>
                </c:pt>
                <c:pt idx="104">
                  <c:v>1.1950615387569301</c:v>
                </c:pt>
                <c:pt idx="105">
                  <c:v>2.0057218563391599</c:v>
                </c:pt>
                <c:pt idx="106">
                  <c:v>2.2445805572089599</c:v>
                </c:pt>
                <c:pt idx="107">
                  <c:v>1.39014227837407</c:v>
                </c:pt>
                <c:pt idx="108">
                  <c:v>0.72425644668881195</c:v>
                </c:pt>
                <c:pt idx="109">
                  <c:v>2.2023386647721801</c:v>
                </c:pt>
                <c:pt idx="110">
                  <c:v>2.2046427679959999</c:v>
                </c:pt>
                <c:pt idx="111">
                  <c:v>1.1105777538833701</c:v>
                </c:pt>
                <c:pt idx="112">
                  <c:v>1.9703922735738499</c:v>
                </c:pt>
                <c:pt idx="113">
                  <c:v>1.49497897505808</c:v>
                </c:pt>
                <c:pt idx="114">
                  <c:v>1.8298419769205601</c:v>
                </c:pt>
                <c:pt idx="115">
                  <c:v>0.73654499721587596</c:v>
                </c:pt>
                <c:pt idx="116">
                  <c:v>1.7860640156679</c:v>
                </c:pt>
                <c:pt idx="117">
                  <c:v>1.78760008448378</c:v>
                </c:pt>
                <c:pt idx="118">
                  <c:v>0.93239377124094902</c:v>
                </c:pt>
                <c:pt idx="119">
                  <c:v>1.5053474395652899</c:v>
                </c:pt>
                <c:pt idx="120">
                  <c:v>2.0310669918012301</c:v>
                </c:pt>
                <c:pt idx="121">
                  <c:v>2.4607822430444801</c:v>
                </c:pt>
                <c:pt idx="122">
                  <c:v>2.2249956798064501</c:v>
                </c:pt>
                <c:pt idx="123">
                  <c:v>1.4642575987404201</c:v>
                </c:pt>
                <c:pt idx="124">
                  <c:v>1.7042683512221299</c:v>
                </c:pt>
                <c:pt idx="125">
                  <c:v>1.8486588199151299</c:v>
                </c:pt>
                <c:pt idx="126">
                  <c:v>0.61212342312935397</c:v>
                </c:pt>
                <c:pt idx="127">
                  <c:v>0.85213417561106597</c:v>
                </c:pt>
                <c:pt idx="128">
                  <c:v>0.233098442810238</c:v>
                </c:pt>
                <c:pt idx="129">
                  <c:v>0.80682014554252302</c:v>
                </c:pt>
                <c:pt idx="130">
                  <c:v>0.140166279449321</c:v>
                </c:pt>
                <c:pt idx="131">
                  <c:v>0.238474683665828</c:v>
                </c:pt>
                <c:pt idx="132">
                  <c:v>0.57410571993624804</c:v>
                </c:pt>
                <c:pt idx="133">
                  <c:v>0.81603655843781897</c:v>
                </c:pt>
                <c:pt idx="134">
                  <c:v>0.244618958929358</c:v>
                </c:pt>
                <c:pt idx="135">
                  <c:v>1.1981336763887001</c:v>
                </c:pt>
                <c:pt idx="136">
                  <c:v>0.24884314817303699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C-4672-A7CB-144D79439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684975"/>
        <c:axId val="1877685455"/>
      </c:scatterChart>
      <c:valAx>
        <c:axId val="1877684975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85455"/>
        <c:crosses val="autoZero"/>
        <c:crossBetween val="midCat"/>
      </c:valAx>
      <c:valAx>
        <c:axId val="1877685455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84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Resampling!$Y$7:$Y$500</c:f>
              <c:numCache>
                <c:formatCode>General</c:formatCode>
                <c:ptCount val="49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  <c:pt idx="226">
                  <c:v>22.600000000000051</c:v>
                </c:pt>
                <c:pt idx="227">
                  <c:v>22.700000000000053</c:v>
                </c:pt>
                <c:pt idx="228">
                  <c:v>22.800000000000054</c:v>
                </c:pt>
                <c:pt idx="229">
                  <c:v>22.900000000000055</c:v>
                </c:pt>
                <c:pt idx="230">
                  <c:v>23.000000000000057</c:v>
                </c:pt>
                <c:pt idx="231">
                  <c:v>23.100000000000058</c:v>
                </c:pt>
                <c:pt idx="232">
                  <c:v>23.20000000000006</c:v>
                </c:pt>
                <c:pt idx="233">
                  <c:v>23.300000000000061</c:v>
                </c:pt>
                <c:pt idx="234">
                  <c:v>23.400000000000063</c:v>
                </c:pt>
                <c:pt idx="235">
                  <c:v>23.500000000000064</c:v>
                </c:pt>
                <c:pt idx="236">
                  <c:v>23.600000000000065</c:v>
                </c:pt>
                <c:pt idx="237">
                  <c:v>23.700000000000067</c:v>
                </c:pt>
                <c:pt idx="238">
                  <c:v>23.800000000000068</c:v>
                </c:pt>
                <c:pt idx="239">
                  <c:v>23.90000000000007</c:v>
                </c:pt>
                <c:pt idx="240">
                  <c:v>24.000000000000071</c:v>
                </c:pt>
                <c:pt idx="241">
                  <c:v>24.100000000000072</c:v>
                </c:pt>
                <c:pt idx="242">
                  <c:v>24.200000000000074</c:v>
                </c:pt>
                <c:pt idx="243">
                  <c:v>24.300000000000075</c:v>
                </c:pt>
                <c:pt idx="244">
                  <c:v>24.400000000000077</c:v>
                </c:pt>
                <c:pt idx="245">
                  <c:v>24.500000000000078</c:v>
                </c:pt>
                <c:pt idx="246">
                  <c:v>24.60000000000008</c:v>
                </c:pt>
                <c:pt idx="247">
                  <c:v>24.700000000000081</c:v>
                </c:pt>
                <c:pt idx="248">
                  <c:v>24.800000000000082</c:v>
                </c:pt>
                <c:pt idx="249">
                  <c:v>24.900000000000084</c:v>
                </c:pt>
                <c:pt idx="250">
                  <c:v>25.000000000000085</c:v>
                </c:pt>
                <c:pt idx="251">
                  <c:v>25.100000000000087</c:v>
                </c:pt>
                <c:pt idx="252">
                  <c:v>25.200000000000088</c:v>
                </c:pt>
                <c:pt idx="253">
                  <c:v>25.30000000000009</c:v>
                </c:pt>
                <c:pt idx="254">
                  <c:v>25.400000000000091</c:v>
                </c:pt>
                <c:pt idx="255">
                  <c:v>25.500000000000092</c:v>
                </c:pt>
                <c:pt idx="256">
                  <c:v>25.600000000000094</c:v>
                </c:pt>
                <c:pt idx="257">
                  <c:v>25.700000000000095</c:v>
                </c:pt>
                <c:pt idx="258">
                  <c:v>25.800000000000097</c:v>
                </c:pt>
                <c:pt idx="259">
                  <c:v>25.900000000000098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26.200000000000102</c:v>
                </c:pt>
                <c:pt idx="263">
                  <c:v>26.300000000000104</c:v>
                </c:pt>
                <c:pt idx="264">
                  <c:v>26.400000000000105</c:v>
                </c:pt>
                <c:pt idx="265">
                  <c:v>26.500000000000107</c:v>
                </c:pt>
                <c:pt idx="266">
                  <c:v>26.600000000000108</c:v>
                </c:pt>
                <c:pt idx="267">
                  <c:v>26.700000000000109</c:v>
                </c:pt>
                <c:pt idx="268">
                  <c:v>26.800000000000111</c:v>
                </c:pt>
                <c:pt idx="269">
                  <c:v>26.900000000000112</c:v>
                </c:pt>
                <c:pt idx="270">
                  <c:v>27.000000000000114</c:v>
                </c:pt>
                <c:pt idx="271">
                  <c:v>27.100000000000115</c:v>
                </c:pt>
                <c:pt idx="272">
                  <c:v>27.200000000000117</c:v>
                </c:pt>
                <c:pt idx="273">
                  <c:v>27.300000000000118</c:v>
                </c:pt>
                <c:pt idx="274">
                  <c:v>27.400000000000119</c:v>
                </c:pt>
                <c:pt idx="275">
                  <c:v>27.500000000000121</c:v>
                </c:pt>
                <c:pt idx="276">
                  <c:v>27.600000000000122</c:v>
                </c:pt>
                <c:pt idx="277">
                  <c:v>27.700000000000124</c:v>
                </c:pt>
                <c:pt idx="278">
                  <c:v>27.800000000000125</c:v>
                </c:pt>
                <c:pt idx="279">
                  <c:v>27.900000000000126</c:v>
                </c:pt>
                <c:pt idx="280">
                  <c:v>28.000000000000128</c:v>
                </c:pt>
                <c:pt idx="281">
                  <c:v>28.100000000000129</c:v>
                </c:pt>
                <c:pt idx="282">
                  <c:v>28.200000000000131</c:v>
                </c:pt>
                <c:pt idx="283">
                  <c:v>28.300000000000132</c:v>
                </c:pt>
                <c:pt idx="284">
                  <c:v>28.400000000000134</c:v>
                </c:pt>
                <c:pt idx="285">
                  <c:v>28.500000000000135</c:v>
                </c:pt>
                <c:pt idx="286">
                  <c:v>28.600000000000136</c:v>
                </c:pt>
                <c:pt idx="287">
                  <c:v>28.700000000000138</c:v>
                </c:pt>
                <c:pt idx="288">
                  <c:v>28.800000000000139</c:v>
                </c:pt>
                <c:pt idx="289">
                  <c:v>28.900000000000141</c:v>
                </c:pt>
                <c:pt idx="290">
                  <c:v>29.000000000000142</c:v>
                </c:pt>
                <c:pt idx="291">
                  <c:v>29.100000000000144</c:v>
                </c:pt>
                <c:pt idx="292">
                  <c:v>29.200000000000145</c:v>
                </c:pt>
                <c:pt idx="293">
                  <c:v>29.300000000000146</c:v>
                </c:pt>
                <c:pt idx="294">
                  <c:v>29.400000000000148</c:v>
                </c:pt>
                <c:pt idx="295">
                  <c:v>29.500000000000149</c:v>
                </c:pt>
                <c:pt idx="296">
                  <c:v>29.600000000000151</c:v>
                </c:pt>
                <c:pt idx="297">
                  <c:v>29.700000000000152</c:v>
                </c:pt>
                <c:pt idx="298">
                  <c:v>29.800000000000153</c:v>
                </c:pt>
                <c:pt idx="299">
                  <c:v>29.900000000000155</c:v>
                </c:pt>
                <c:pt idx="300">
                  <c:v>30.000000000000156</c:v>
                </c:pt>
                <c:pt idx="301">
                  <c:v>30.100000000000158</c:v>
                </c:pt>
                <c:pt idx="302">
                  <c:v>30.200000000000159</c:v>
                </c:pt>
                <c:pt idx="303">
                  <c:v>30.300000000000161</c:v>
                </c:pt>
                <c:pt idx="304">
                  <c:v>30.400000000000162</c:v>
                </c:pt>
                <c:pt idx="305">
                  <c:v>30.500000000000163</c:v>
                </c:pt>
                <c:pt idx="306">
                  <c:v>30.600000000000165</c:v>
                </c:pt>
                <c:pt idx="307">
                  <c:v>30.700000000000166</c:v>
                </c:pt>
                <c:pt idx="308">
                  <c:v>30.800000000000168</c:v>
                </c:pt>
                <c:pt idx="309">
                  <c:v>30.900000000000169</c:v>
                </c:pt>
                <c:pt idx="310">
                  <c:v>31.000000000000171</c:v>
                </c:pt>
                <c:pt idx="311">
                  <c:v>31.100000000000172</c:v>
                </c:pt>
                <c:pt idx="312">
                  <c:v>31.200000000000173</c:v>
                </c:pt>
                <c:pt idx="313">
                  <c:v>31.300000000000175</c:v>
                </c:pt>
                <c:pt idx="314">
                  <c:v>31.400000000000176</c:v>
                </c:pt>
                <c:pt idx="315">
                  <c:v>31.500000000000178</c:v>
                </c:pt>
                <c:pt idx="316">
                  <c:v>31.600000000000179</c:v>
                </c:pt>
                <c:pt idx="317">
                  <c:v>31.70000000000018</c:v>
                </c:pt>
                <c:pt idx="318">
                  <c:v>31.800000000000182</c:v>
                </c:pt>
                <c:pt idx="319">
                  <c:v>31.900000000000183</c:v>
                </c:pt>
                <c:pt idx="320">
                  <c:v>32.000000000000185</c:v>
                </c:pt>
                <c:pt idx="321">
                  <c:v>32.100000000000186</c:v>
                </c:pt>
                <c:pt idx="322">
                  <c:v>32.200000000000188</c:v>
                </c:pt>
                <c:pt idx="323">
                  <c:v>32.300000000000189</c:v>
                </c:pt>
                <c:pt idx="324">
                  <c:v>32.40000000000019</c:v>
                </c:pt>
                <c:pt idx="325">
                  <c:v>32.500000000000192</c:v>
                </c:pt>
                <c:pt idx="326">
                  <c:v>32.600000000000193</c:v>
                </c:pt>
                <c:pt idx="327">
                  <c:v>32.700000000000195</c:v>
                </c:pt>
                <c:pt idx="328">
                  <c:v>32.800000000000196</c:v>
                </c:pt>
                <c:pt idx="329">
                  <c:v>32.900000000000198</c:v>
                </c:pt>
                <c:pt idx="330">
                  <c:v>33.000000000000199</c:v>
                </c:pt>
                <c:pt idx="331">
                  <c:v>33.1000000000002</c:v>
                </c:pt>
                <c:pt idx="332">
                  <c:v>33.200000000000202</c:v>
                </c:pt>
                <c:pt idx="333">
                  <c:v>33.300000000000203</c:v>
                </c:pt>
                <c:pt idx="334">
                  <c:v>33.400000000000205</c:v>
                </c:pt>
                <c:pt idx="335">
                  <c:v>33.500000000000206</c:v>
                </c:pt>
                <c:pt idx="336">
                  <c:v>33.600000000000207</c:v>
                </c:pt>
                <c:pt idx="337">
                  <c:v>33.700000000000209</c:v>
                </c:pt>
                <c:pt idx="338">
                  <c:v>33.80000000000021</c:v>
                </c:pt>
                <c:pt idx="339">
                  <c:v>33.900000000000212</c:v>
                </c:pt>
                <c:pt idx="340">
                  <c:v>34.000000000000213</c:v>
                </c:pt>
                <c:pt idx="341">
                  <c:v>34.100000000000215</c:v>
                </c:pt>
                <c:pt idx="342">
                  <c:v>34.200000000000216</c:v>
                </c:pt>
                <c:pt idx="343">
                  <c:v>34.300000000000217</c:v>
                </c:pt>
                <c:pt idx="344">
                  <c:v>34.400000000000219</c:v>
                </c:pt>
                <c:pt idx="345">
                  <c:v>34.50000000000022</c:v>
                </c:pt>
                <c:pt idx="346">
                  <c:v>34.600000000000222</c:v>
                </c:pt>
                <c:pt idx="347">
                  <c:v>34.700000000000223</c:v>
                </c:pt>
                <c:pt idx="348">
                  <c:v>34.800000000000225</c:v>
                </c:pt>
                <c:pt idx="349">
                  <c:v>34.900000000000226</c:v>
                </c:pt>
                <c:pt idx="350">
                  <c:v>35.000000000000227</c:v>
                </c:pt>
                <c:pt idx="351">
                  <c:v>35.100000000000229</c:v>
                </c:pt>
                <c:pt idx="352">
                  <c:v>35.20000000000023</c:v>
                </c:pt>
                <c:pt idx="353">
                  <c:v>35.300000000000232</c:v>
                </c:pt>
                <c:pt idx="354">
                  <c:v>35.400000000000233</c:v>
                </c:pt>
                <c:pt idx="355">
                  <c:v>35.500000000000234</c:v>
                </c:pt>
                <c:pt idx="356">
                  <c:v>35.600000000000236</c:v>
                </c:pt>
                <c:pt idx="357">
                  <c:v>35.700000000000237</c:v>
                </c:pt>
                <c:pt idx="358">
                  <c:v>35.800000000000239</c:v>
                </c:pt>
                <c:pt idx="359">
                  <c:v>35.90000000000024</c:v>
                </c:pt>
                <c:pt idx="360">
                  <c:v>36.000000000000242</c:v>
                </c:pt>
                <c:pt idx="361">
                  <c:v>36.100000000000243</c:v>
                </c:pt>
                <c:pt idx="362">
                  <c:v>36.200000000000244</c:v>
                </c:pt>
                <c:pt idx="363">
                  <c:v>36.300000000000246</c:v>
                </c:pt>
                <c:pt idx="364">
                  <c:v>36.400000000000247</c:v>
                </c:pt>
                <c:pt idx="365">
                  <c:v>36.500000000000249</c:v>
                </c:pt>
                <c:pt idx="366">
                  <c:v>36.60000000000025</c:v>
                </c:pt>
                <c:pt idx="367">
                  <c:v>36.700000000000252</c:v>
                </c:pt>
                <c:pt idx="368">
                  <c:v>36.800000000000253</c:v>
                </c:pt>
                <c:pt idx="369">
                  <c:v>36.900000000000254</c:v>
                </c:pt>
                <c:pt idx="370">
                  <c:v>37.000000000000256</c:v>
                </c:pt>
                <c:pt idx="371">
                  <c:v>37.100000000000257</c:v>
                </c:pt>
                <c:pt idx="372">
                  <c:v>37.200000000000259</c:v>
                </c:pt>
                <c:pt idx="373">
                  <c:v>37.30000000000026</c:v>
                </c:pt>
                <c:pt idx="374">
                  <c:v>37.400000000000261</c:v>
                </c:pt>
                <c:pt idx="375">
                  <c:v>37.500000000000263</c:v>
                </c:pt>
                <c:pt idx="376">
                  <c:v>37.600000000000264</c:v>
                </c:pt>
                <c:pt idx="377">
                  <c:v>37.700000000000266</c:v>
                </c:pt>
                <c:pt idx="378">
                  <c:v>37.800000000000267</c:v>
                </c:pt>
                <c:pt idx="379">
                  <c:v>37.900000000000269</c:v>
                </c:pt>
                <c:pt idx="380">
                  <c:v>38.00000000000027</c:v>
                </c:pt>
                <c:pt idx="381">
                  <c:v>38.100000000000271</c:v>
                </c:pt>
                <c:pt idx="382">
                  <c:v>38.200000000000273</c:v>
                </c:pt>
                <c:pt idx="383">
                  <c:v>38.300000000000274</c:v>
                </c:pt>
                <c:pt idx="384">
                  <c:v>38.400000000000276</c:v>
                </c:pt>
                <c:pt idx="385">
                  <c:v>38.500000000000277</c:v>
                </c:pt>
                <c:pt idx="386">
                  <c:v>38.600000000000279</c:v>
                </c:pt>
                <c:pt idx="387">
                  <c:v>38.70000000000028</c:v>
                </c:pt>
                <c:pt idx="388">
                  <c:v>38.800000000000281</c:v>
                </c:pt>
                <c:pt idx="389">
                  <c:v>38.900000000000283</c:v>
                </c:pt>
                <c:pt idx="390">
                  <c:v>39.000000000000284</c:v>
                </c:pt>
                <c:pt idx="391">
                  <c:v>39.100000000000286</c:v>
                </c:pt>
                <c:pt idx="392">
                  <c:v>39.200000000000287</c:v>
                </c:pt>
                <c:pt idx="393">
                  <c:v>39.300000000000288</c:v>
                </c:pt>
                <c:pt idx="394">
                  <c:v>39.40000000000029</c:v>
                </c:pt>
                <c:pt idx="395">
                  <c:v>39.500000000000291</c:v>
                </c:pt>
                <c:pt idx="396">
                  <c:v>39.600000000000293</c:v>
                </c:pt>
                <c:pt idx="397">
                  <c:v>39.700000000000294</c:v>
                </c:pt>
                <c:pt idx="398">
                  <c:v>39.800000000000296</c:v>
                </c:pt>
                <c:pt idx="399">
                  <c:v>39.900000000000297</c:v>
                </c:pt>
                <c:pt idx="400">
                  <c:v>40.000000000000298</c:v>
                </c:pt>
                <c:pt idx="401">
                  <c:v>40.1000000000003</c:v>
                </c:pt>
                <c:pt idx="402">
                  <c:v>40.200000000000301</c:v>
                </c:pt>
                <c:pt idx="403">
                  <c:v>40.300000000000303</c:v>
                </c:pt>
                <c:pt idx="404">
                  <c:v>40.400000000000304</c:v>
                </c:pt>
                <c:pt idx="405">
                  <c:v>40.500000000000306</c:v>
                </c:pt>
                <c:pt idx="406">
                  <c:v>40.600000000000307</c:v>
                </c:pt>
                <c:pt idx="407">
                  <c:v>40.700000000000308</c:v>
                </c:pt>
                <c:pt idx="408">
                  <c:v>40.80000000000031</c:v>
                </c:pt>
                <c:pt idx="409">
                  <c:v>40.900000000000311</c:v>
                </c:pt>
                <c:pt idx="410">
                  <c:v>41.000000000000313</c:v>
                </c:pt>
                <c:pt idx="411">
                  <c:v>41.100000000000314</c:v>
                </c:pt>
                <c:pt idx="412">
                  <c:v>41.200000000000315</c:v>
                </c:pt>
                <c:pt idx="413">
                  <c:v>41.300000000000317</c:v>
                </c:pt>
                <c:pt idx="414">
                  <c:v>41.400000000000318</c:v>
                </c:pt>
                <c:pt idx="415">
                  <c:v>41.50000000000032</c:v>
                </c:pt>
                <c:pt idx="416">
                  <c:v>41.600000000000321</c:v>
                </c:pt>
                <c:pt idx="417">
                  <c:v>41.700000000000323</c:v>
                </c:pt>
                <c:pt idx="418">
                  <c:v>41.800000000000324</c:v>
                </c:pt>
                <c:pt idx="419">
                  <c:v>41.900000000000325</c:v>
                </c:pt>
                <c:pt idx="420">
                  <c:v>42.000000000000327</c:v>
                </c:pt>
                <c:pt idx="421">
                  <c:v>42.100000000000328</c:v>
                </c:pt>
                <c:pt idx="422">
                  <c:v>42.20000000000033</c:v>
                </c:pt>
                <c:pt idx="423">
                  <c:v>42.300000000000331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</c:numCache>
            </c:numRef>
          </c:xVal>
          <c:yVal>
            <c:numRef>
              <c:f>Resampling!$Z$7:$Z$500</c:f>
              <c:numCache>
                <c:formatCode>General</c:formatCode>
                <c:ptCount val="4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1.0958904109587686E-2</c:v>
                </c:pt>
                <c:pt idx="15">
                  <c:v>2.6206075044668826E-2</c:v>
                </c:pt>
                <c:pt idx="16">
                  <c:v>4.1453245979749968E-2</c:v>
                </c:pt>
                <c:pt idx="17">
                  <c:v>5.670041691483111E-2</c:v>
                </c:pt>
                <c:pt idx="18">
                  <c:v>7.1947587849912259E-2</c:v>
                </c:pt>
                <c:pt idx="19">
                  <c:v>8.7194758784993387E-2</c:v>
                </c:pt>
                <c:pt idx="20">
                  <c:v>0.10244192972007449</c:v>
                </c:pt>
                <c:pt idx="21">
                  <c:v>0.83903614457833964</c:v>
                </c:pt>
                <c:pt idx="22">
                  <c:v>1.1383132530120723</c:v>
                </c:pt>
                <c:pt idx="23">
                  <c:v>1.4375903614458048</c:v>
                </c:pt>
                <c:pt idx="24">
                  <c:v>1.7368674698795372</c:v>
                </c:pt>
                <c:pt idx="25">
                  <c:v>2.0361445783132699</c:v>
                </c:pt>
                <c:pt idx="26">
                  <c:v>2.3354216867470026</c:v>
                </c:pt>
                <c:pt idx="27">
                  <c:v>3.0303482587065149</c:v>
                </c:pt>
                <c:pt idx="28">
                  <c:v>3.5388688327316609</c:v>
                </c:pt>
                <c:pt idx="29">
                  <c:v>3.8079422382671635</c:v>
                </c:pt>
                <c:pt idx="30">
                  <c:v>4.0770156438026657</c:v>
                </c:pt>
                <c:pt idx="31">
                  <c:v>4.4256658595641936</c:v>
                </c:pt>
                <c:pt idx="32">
                  <c:v>4.8464891041162463</c:v>
                </c:pt>
                <c:pt idx="33">
                  <c:v>5.2673123486683</c:v>
                </c:pt>
                <c:pt idx="34">
                  <c:v>5.6881355932203537</c:v>
                </c:pt>
                <c:pt idx="35">
                  <c:v>6.5311720698255105</c:v>
                </c:pt>
                <c:pt idx="36">
                  <c:v>7.3549019607843693</c:v>
                </c:pt>
                <c:pt idx="37">
                  <c:v>8.1840399002494735</c:v>
                </c:pt>
                <c:pt idx="38">
                  <c:v>9.3596009975063232</c:v>
                </c:pt>
                <c:pt idx="39">
                  <c:v>10.535162094763173</c:v>
                </c:pt>
                <c:pt idx="40">
                  <c:v>10.340225563909739</c:v>
                </c:pt>
                <c:pt idx="41">
                  <c:v>10.014379699248083</c:v>
                </c:pt>
                <c:pt idx="42">
                  <c:v>9.688533834586428</c:v>
                </c:pt>
                <c:pt idx="43">
                  <c:v>9.3626879699247727</c:v>
                </c:pt>
                <c:pt idx="44">
                  <c:v>10.997938144330039</c:v>
                </c:pt>
                <c:pt idx="45">
                  <c:v>11.965947786605966</c:v>
                </c:pt>
                <c:pt idx="46">
                  <c:v>10.812258796821631</c:v>
                </c:pt>
                <c:pt idx="47">
                  <c:v>10.783668494820184</c:v>
                </c:pt>
                <c:pt idx="48">
                  <c:v>11.373552711761082</c:v>
                </c:pt>
                <c:pt idx="49">
                  <c:v>11.963436928701979</c:v>
                </c:pt>
                <c:pt idx="50">
                  <c:v>12.553321145642878</c:v>
                </c:pt>
                <c:pt idx="51">
                  <c:v>13.143205362583775</c:v>
                </c:pt>
                <c:pt idx="52">
                  <c:v>13.733089579524673</c:v>
                </c:pt>
                <c:pt idx="53">
                  <c:v>13.840875071963083</c:v>
                </c:pt>
                <c:pt idx="54">
                  <c:v>13.027518710420203</c:v>
                </c:pt>
                <c:pt idx="55">
                  <c:v>12.214162348877325</c:v>
                </c:pt>
                <c:pt idx="56">
                  <c:v>11.418546365914748</c:v>
                </c:pt>
                <c:pt idx="57">
                  <c:v>12.724310776942319</c:v>
                </c:pt>
                <c:pt idx="58">
                  <c:v>13.269647058823448</c:v>
                </c:pt>
                <c:pt idx="59">
                  <c:v>12.978352941176421</c:v>
                </c:pt>
                <c:pt idx="60">
                  <c:v>12.802197802197705</c:v>
                </c:pt>
                <c:pt idx="61">
                  <c:v>15.160216718266152</c:v>
                </c:pt>
                <c:pt idx="62">
                  <c:v>14.546439628482913</c:v>
                </c:pt>
                <c:pt idx="63">
                  <c:v>13.932662538699674</c:v>
                </c:pt>
                <c:pt idx="64">
                  <c:v>14.891999999999982</c:v>
                </c:pt>
                <c:pt idx="65">
                  <c:v>15.591598599766591</c:v>
                </c:pt>
                <c:pt idx="66">
                  <c:v>15.100116686114312</c:v>
                </c:pt>
                <c:pt idx="67">
                  <c:v>14.608634772462032</c:v>
                </c:pt>
                <c:pt idx="68">
                  <c:v>14.143803680981476</c:v>
                </c:pt>
                <c:pt idx="69">
                  <c:v>14.905030674846577</c:v>
                </c:pt>
                <c:pt idx="70">
                  <c:v>15.69495694956945</c:v>
                </c:pt>
                <c:pt idx="71">
                  <c:v>16.519065190651787</c:v>
                </c:pt>
                <c:pt idx="72">
                  <c:v>16.968421052631477</c:v>
                </c:pt>
                <c:pt idx="73">
                  <c:v>17.373986690864992</c:v>
                </c:pt>
                <c:pt idx="74">
                  <c:v>17.779552329098507</c:v>
                </c:pt>
                <c:pt idx="75">
                  <c:v>17.027945619335316</c:v>
                </c:pt>
                <c:pt idx="76">
                  <c:v>15.82960725075529</c:v>
                </c:pt>
                <c:pt idx="77">
                  <c:v>14.976960784313659</c:v>
                </c:pt>
                <c:pt idx="78">
                  <c:v>15.706862745097947</c:v>
                </c:pt>
                <c:pt idx="79">
                  <c:v>16.436764705882236</c:v>
                </c:pt>
                <c:pt idx="80">
                  <c:v>17.049614112458865</c:v>
                </c:pt>
                <c:pt idx="81">
                  <c:v>15.218081587651687</c:v>
                </c:pt>
                <c:pt idx="82">
                  <c:v>14.380856423173633</c:v>
                </c:pt>
                <c:pt idx="83">
                  <c:v>15.818136020150952</c:v>
                </c:pt>
                <c:pt idx="84">
                  <c:v>17.193043478261067</c:v>
                </c:pt>
                <c:pt idx="85">
                  <c:v>15.03695652173934</c:v>
                </c:pt>
                <c:pt idx="86">
                  <c:v>13.446693227091565</c:v>
                </c:pt>
                <c:pt idx="87">
                  <c:v>13.545976095617473</c:v>
                </c:pt>
                <c:pt idx="88">
                  <c:v>13.64525896414338</c:v>
                </c:pt>
                <c:pt idx="89">
                  <c:v>14.274999999999864</c:v>
                </c:pt>
                <c:pt idx="90">
                  <c:v>15.004901960784181</c:v>
                </c:pt>
                <c:pt idx="91">
                  <c:v>15.038425925926012</c:v>
                </c:pt>
                <c:pt idx="92">
                  <c:v>14.350000000000076</c:v>
                </c:pt>
                <c:pt idx="93">
                  <c:v>13.664667747163552</c:v>
                </c:pt>
                <c:pt idx="94">
                  <c:v>14.187682333873459</c:v>
                </c:pt>
                <c:pt idx="95">
                  <c:v>14.710696920583366</c:v>
                </c:pt>
                <c:pt idx="96">
                  <c:v>14.573426573426586</c:v>
                </c:pt>
                <c:pt idx="97">
                  <c:v>14.586911412609663</c:v>
                </c:pt>
                <c:pt idx="98">
                  <c:v>14.725937749401355</c:v>
                </c:pt>
                <c:pt idx="99">
                  <c:v>13.650105263158247</c:v>
                </c:pt>
                <c:pt idx="100">
                  <c:v>12.379110251450655</c:v>
                </c:pt>
                <c:pt idx="101">
                  <c:v>12.763346228239893</c:v>
                </c:pt>
                <c:pt idx="102">
                  <c:v>13.14758220502913</c:v>
                </c:pt>
                <c:pt idx="103">
                  <c:v>13.531818181818366</c:v>
                </c:pt>
                <c:pt idx="104">
                  <c:v>14.533670886076649</c:v>
                </c:pt>
                <c:pt idx="105">
                  <c:v>16.097387173396609</c:v>
                </c:pt>
                <c:pt idx="106">
                  <c:v>16.038954869358594</c:v>
                </c:pt>
                <c:pt idx="107">
                  <c:v>15.980522565320578</c:v>
                </c:pt>
                <c:pt idx="108">
                  <c:v>15.922090261282564</c:v>
                </c:pt>
                <c:pt idx="109">
                  <c:v>14.795067264573273</c:v>
                </c:pt>
                <c:pt idx="110">
                  <c:v>13.349775784753067</c:v>
                </c:pt>
                <c:pt idx="111">
                  <c:v>12.195714285714194</c:v>
                </c:pt>
                <c:pt idx="112">
                  <c:v>12.196190476190397</c:v>
                </c:pt>
                <c:pt idx="113">
                  <c:v>12.196666666666598</c:v>
                </c:pt>
                <c:pt idx="114">
                  <c:v>12.197142857142801</c:v>
                </c:pt>
                <c:pt idx="115">
                  <c:v>12.262572533849323</c:v>
                </c:pt>
                <c:pt idx="116">
                  <c:v>12.646808510638424</c:v>
                </c:pt>
                <c:pt idx="117">
                  <c:v>13.031044487427524</c:v>
                </c:pt>
                <c:pt idx="118">
                  <c:v>13.415280464216625</c:v>
                </c:pt>
                <c:pt idx="119">
                  <c:v>13.631308411214818</c:v>
                </c:pt>
                <c:pt idx="120">
                  <c:v>13.168224299065217</c:v>
                </c:pt>
                <c:pt idx="121">
                  <c:v>12.705140186915616</c:v>
                </c:pt>
                <c:pt idx="122">
                  <c:v>12.242056074766014</c:v>
                </c:pt>
                <c:pt idx="123">
                  <c:v>11.586334684423537</c:v>
                </c:pt>
                <c:pt idx="124">
                  <c:v>10.91187029530963</c:v>
                </c:pt>
                <c:pt idx="125">
                  <c:v>10.23740590619572</c:v>
                </c:pt>
                <c:pt idx="126">
                  <c:v>10.25876639145214</c:v>
                </c:pt>
                <c:pt idx="127">
                  <c:v>10.753084021369643</c:v>
                </c:pt>
                <c:pt idx="128">
                  <c:v>11.247401651287149</c:v>
                </c:pt>
                <c:pt idx="129">
                  <c:v>11.741719281204652</c:v>
                </c:pt>
                <c:pt idx="130">
                  <c:v>11.650749063670103</c:v>
                </c:pt>
                <c:pt idx="131">
                  <c:v>11.233239700374282</c:v>
                </c:pt>
                <c:pt idx="132">
                  <c:v>10.81573033707846</c:v>
                </c:pt>
                <c:pt idx="133">
                  <c:v>10.398220973782637</c:v>
                </c:pt>
                <c:pt idx="134">
                  <c:v>10.483596597812863</c:v>
                </c:pt>
                <c:pt idx="135">
                  <c:v>10.996354799513979</c:v>
                </c:pt>
                <c:pt idx="136">
                  <c:v>11.509113001215095</c:v>
                </c:pt>
                <c:pt idx="137">
                  <c:v>11.767665615141855</c:v>
                </c:pt>
                <c:pt idx="138">
                  <c:v>11.611671924290178</c:v>
                </c:pt>
                <c:pt idx="139">
                  <c:v>11.455678233438503</c:v>
                </c:pt>
                <c:pt idx="140">
                  <c:v>11.027279812938456</c:v>
                </c:pt>
                <c:pt idx="141">
                  <c:v>10.583164458300809</c:v>
                </c:pt>
                <c:pt idx="142">
                  <c:v>10.684828711256113</c:v>
                </c:pt>
                <c:pt idx="143">
                  <c:v>11.373083197390084</c:v>
                </c:pt>
                <c:pt idx="144">
                  <c:v>11.88518518518474</c:v>
                </c:pt>
                <c:pt idx="145">
                  <c:v>11.196759259258831</c:v>
                </c:pt>
                <c:pt idx="146">
                  <c:v>10.508333333332921</c:v>
                </c:pt>
                <c:pt idx="147">
                  <c:v>9.8199074074070118</c:v>
                </c:pt>
                <c:pt idx="148">
                  <c:v>9.1314814814811029</c:v>
                </c:pt>
                <c:pt idx="149">
                  <c:v>9.426401446654749</c:v>
                </c:pt>
                <c:pt idx="150">
                  <c:v>9.7408077154913624</c:v>
                </c:pt>
                <c:pt idx="151">
                  <c:v>10.055213984327978</c:v>
                </c:pt>
                <c:pt idx="152">
                  <c:v>10.369620253164591</c:v>
                </c:pt>
                <c:pt idx="153">
                  <c:v>10.684026522001204</c:v>
                </c:pt>
                <c:pt idx="154">
                  <c:v>10.998432790837819</c:v>
                </c:pt>
                <c:pt idx="155">
                  <c:v>9.4234449760765173</c:v>
                </c:pt>
                <c:pt idx="156">
                  <c:v>9.5425837320573894</c:v>
                </c:pt>
                <c:pt idx="157">
                  <c:v>9.6617224880382615</c:v>
                </c:pt>
                <c:pt idx="158">
                  <c:v>8.6095084609186845</c:v>
                </c:pt>
                <c:pt idx="159">
                  <c:v>8.9896857373086672</c:v>
                </c:pt>
                <c:pt idx="160">
                  <c:v>9.3698630136986498</c:v>
                </c:pt>
                <c:pt idx="161">
                  <c:v>9.7500402900886325</c:v>
                </c:pt>
                <c:pt idx="162">
                  <c:v>10.130217566478622</c:v>
                </c:pt>
                <c:pt idx="163">
                  <c:v>6.6822754075617539</c:v>
                </c:pt>
                <c:pt idx="164">
                  <c:v>7.1730835934792267</c:v>
                </c:pt>
                <c:pt idx="165">
                  <c:v>7.6638917793966996</c:v>
                </c:pt>
                <c:pt idx="166">
                  <c:v>8.1546999653141725</c:v>
                </c:pt>
                <c:pt idx="167">
                  <c:v>8.6455081512316454</c:v>
                </c:pt>
                <c:pt idx="168">
                  <c:v>9.1363163371491183</c:v>
                </c:pt>
                <c:pt idx="169">
                  <c:v>8.7020881670529793</c:v>
                </c:pt>
                <c:pt idx="170">
                  <c:v>8.1205951448706237</c:v>
                </c:pt>
                <c:pt idx="171">
                  <c:v>7.7909162098668165</c:v>
                </c:pt>
                <c:pt idx="172">
                  <c:v>7.4612372748630102</c:v>
                </c:pt>
                <c:pt idx="173">
                  <c:v>7.8459657701710732</c:v>
                </c:pt>
                <c:pt idx="174">
                  <c:v>8.3049230769230178</c:v>
                </c:pt>
                <c:pt idx="175">
                  <c:v>7.5423076923076806</c:v>
                </c:pt>
                <c:pt idx="176">
                  <c:v>6.7796923076923434</c:v>
                </c:pt>
                <c:pt idx="177">
                  <c:v>6.7168173598553267</c:v>
                </c:pt>
                <c:pt idx="178">
                  <c:v>7.0312236286920031</c:v>
                </c:pt>
                <c:pt idx="179">
                  <c:v>7.3456298975286805</c:v>
                </c:pt>
                <c:pt idx="180">
                  <c:v>7.2727272727271695</c:v>
                </c:pt>
                <c:pt idx="181">
                  <c:v>6.7529137529137051</c:v>
                </c:pt>
                <c:pt idx="182">
                  <c:v>6.2331002331002408</c:v>
                </c:pt>
                <c:pt idx="183">
                  <c:v>6.9751430907604188</c:v>
                </c:pt>
                <c:pt idx="184">
                  <c:v>7.7259198691741853</c:v>
                </c:pt>
                <c:pt idx="185">
                  <c:v>7.4502587694075491</c:v>
                </c:pt>
                <c:pt idx="186">
                  <c:v>6.6093156986770865</c:v>
                </c:pt>
                <c:pt idx="187">
                  <c:v>5.7683726279466239</c:v>
                </c:pt>
                <c:pt idx="188">
                  <c:v>5.2798457087755155</c:v>
                </c:pt>
                <c:pt idx="189">
                  <c:v>5.5912246865961182</c:v>
                </c:pt>
                <c:pt idx="190">
                  <c:v>5.9026036644167199</c:v>
                </c:pt>
                <c:pt idx="191">
                  <c:v>6.2139826422373226</c:v>
                </c:pt>
                <c:pt idx="192">
                  <c:v>6.2018518518515835</c:v>
                </c:pt>
                <c:pt idx="193">
                  <c:v>5.5134259259254028</c:v>
                </c:pt>
                <c:pt idx="194">
                  <c:v>5.1950266429838994</c:v>
                </c:pt>
                <c:pt idx="195">
                  <c:v>5.0633510953225649</c:v>
                </c:pt>
                <c:pt idx="196">
                  <c:v>4.9316755476612295</c:v>
                </c:pt>
                <c:pt idx="197">
                  <c:v>5.2832713754654961</c:v>
                </c:pt>
                <c:pt idx="198">
                  <c:v>6.2978934324667124</c:v>
                </c:pt>
                <c:pt idx="199">
                  <c:v>6.3767220902612394</c:v>
                </c:pt>
                <c:pt idx="200">
                  <c:v>6.3182897862232386</c:v>
                </c:pt>
                <c:pt idx="201">
                  <c:v>6.2598574821852377</c:v>
                </c:pt>
                <c:pt idx="202">
                  <c:v>5.9672386895473357</c:v>
                </c:pt>
                <c:pt idx="203">
                  <c:v>5.5421216848670687</c:v>
                </c:pt>
                <c:pt idx="204">
                  <c:v>4.9086859688183742</c:v>
                </c:pt>
                <c:pt idx="205">
                  <c:v>3.8756601056169395</c:v>
                </c:pt>
                <c:pt idx="206">
                  <c:v>4.0785405664906955</c:v>
                </c:pt>
                <c:pt idx="207">
                  <c:v>4.2814210273644511</c:v>
                </c:pt>
                <c:pt idx="208">
                  <c:v>4.4843014882382066</c:v>
                </c:pt>
                <c:pt idx="209">
                  <c:v>4.7511191772536883</c:v>
                </c:pt>
                <c:pt idx="210">
                  <c:v>5.1566848154872247</c:v>
                </c:pt>
                <c:pt idx="211">
                  <c:v>5.562250453720762</c:v>
                </c:pt>
                <c:pt idx="212">
                  <c:v>5.8876404494380798</c:v>
                </c:pt>
                <c:pt idx="213">
                  <c:v>5.7267888823180018</c:v>
                </c:pt>
                <c:pt idx="214">
                  <c:v>5.5659373151979246</c:v>
                </c:pt>
                <c:pt idx="215">
                  <c:v>5.4050857480778465</c:v>
                </c:pt>
                <c:pt idx="216">
                  <c:v>5.6965600482804444</c:v>
                </c:pt>
                <c:pt idx="217">
                  <c:v>6.041279420640091</c:v>
                </c:pt>
                <c:pt idx="218">
                  <c:v>6.3859987929997368</c:v>
                </c:pt>
                <c:pt idx="219">
                  <c:v>5.9344867358700242</c:v>
                </c:pt>
                <c:pt idx="220">
                  <c:v>5.162629757784595</c:v>
                </c:pt>
                <c:pt idx="221">
                  <c:v>4.390772779699164</c:v>
                </c:pt>
                <c:pt idx="222">
                  <c:v>4.1711491442550832</c:v>
                </c:pt>
                <c:pt idx="223">
                  <c:v>4.8386308068466271</c:v>
                </c:pt>
                <c:pt idx="224">
                  <c:v>5.4801695713610652</c:v>
                </c:pt>
                <c:pt idx="225">
                  <c:v>5.2119642016012611</c:v>
                </c:pt>
                <c:pt idx="226">
                  <c:v>4.9437588318414569</c:v>
                </c:pt>
                <c:pt idx="227">
                  <c:v>4.6755534620816537</c:v>
                </c:pt>
                <c:pt idx="228">
                  <c:v>4.4073480923218495</c:v>
                </c:pt>
                <c:pt idx="229">
                  <c:v>4.6790361445786068</c:v>
                </c:pt>
                <c:pt idx="230">
                  <c:v>4.5165714285706207</c:v>
                </c:pt>
                <c:pt idx="231">
                  <c:v>3.5250285714277574</c:v>
                </c:pt>
                <c:pt idx="232">
                  <c:v>3.336772645471072</c:v>
                </c:pt>
                <c:pt idx="233">
                  <c:v>3.5306538692263292</c:v>
                </c:pt>
                <c:pt idx="234">
                  <c:v>3.7245350929815864</c:v>
                </c:pt>
                <c:pt idx="235">
                  <c:v>3.6801881246322621</c:v>
                </c:pt>
                <c:pt idx="236">
                  <c:v>3.3744855967074949</c:v>
                </c:pt>
                <c:pt idx="237">
                  <c:v>3.0687830687827282</c:v>
                </c:pt>
                <c:pt idx="238">
                  <c:v>2.8589221556887936</c:v>
                </c:pt>
                <c:pt idx="239">
                  <c:v>3.0079041916169533</c:v>
                </c:pt>
                <c:pt idx="240">
                  <c:v>3.1568862275451126</c:v>
                </c:pt>
                <c:pt idx="241">
                  <c:v>3.3058682634732723</c:v>
                </c:pt>
                <c:pt idx="242">
                  <c:v>3.4548502994014316</c:v>
                </c:pt>
                <c:pt idx="243">
                  <c:v>3.7189582071478888</c:v>
                </c:pt>
                <c:pt idx="244">
                  <c:v>4.1550575408849504</c:v>
                </c:pt>
                <c:pt idx="245">
                  <c:v>4.5911568746220119</c:v>
                </c:pt>
                <c:pt idx="246">
                  <c:v>4.817985401459282</c:v>
                </c:pt>
                <c:pt idx="247">
                  <c:v>4.3477956204373882</c:v>
                </c:pt>
                <c:pt idx="248">
                  <c:v>3.8776058394154944</c:v>
                </c:pt>
                <c:pt idx="249">
                  <c:v>3.4074160583936006</c:v>
                </c:pt>
                <c:pt idx="250">
                  <c:v>2.9372262773717068</c:v>
                </c:pt>
                <c:pt idx="251">
                  <c:v>2.467036496349813</c:v>
                </c:pt>
                <c:pt idx="252">
                  <c:v>1.9968467153279197</c:v>
                </c:pt>
                <c:pt idx="253">
                  <c:v>1.8638044126416757</c:v>
                </c:pt>
                <c:pt idx="254">
                  <c:v>1.9086463923673871</c:v>
                </c:pt>
                <c:pt idx="255">
                  <c:v>1.9534883720930984</c:v>
                </c:pt>
                <c:pt idx="256">
                  <c:v>1.8147713950755757</c:v>
                </c:pt>
                <c:pt idx="257">
                  <c:v>1.4372801875728269</c:v>
                </c:pt>
                <c:pt idx="258">
                  <c:v>1.0673964034398007</c:v>
                </c:pt>
                <c:pt idx="259">
                  <c:v>0.69945269741948479</c:v>
                </c:pt>
                <c:pt idx="260">
                  <c:v>0.84682440846950868</c:v>
                </c:pt>
                <c:pt idx="261">
                  <c:v>1.9900373599020234</c:v>
                </c:pt>
                <c:pt idx="262">
                  <c:v>2.1143872113674709</c:v>
                </c:pt>
                <c:pt idx="263">
                  <c:v>1.9827116637061362</c:v>
                </c:pt>
                <c:pt idx="264">
                  <c:v>1.8510361160448014</c:v>
                </c:pt>
                <c:pt idx="265">
                  <c:v>1.7193605683834665</c:v>
                </c:pt>
                <c:pt idx="266">
                  <c:v>1.5876850207221316</c:v>
                </c:pt>
                <c:pt idx="267">
                  <c:v>1.4560094730607966</c:v>
                </c:pt>
                <c:pt idx="268">
                  <c:v>1.6137592137604382</c:v>
                </c:pt>
                <c:pt idx="269">
                  <c:v>2.2739659367406002</c:v>
                </c:pt>
                <c:pt idx="270">
                  <c:v>2.8175182481760372</c:v>
                </c:pt>
                <c:pt idx="271">
                  <c:v>3.3610705596114743</c:v>
                </c:pt>
                <c:pt idx="272">
                  <c:v>3.9046228710469117</c:v>
                </c:pt>
                <c:pt idx="273">
                  <c:v>3.8031031807595452</c:v>
                </c:pt>
                <c:pt idx="274">
                  <c:v>3.2456167571752705</c:v>
                </c:pt>
                <c:pt idx="275">
                  <c:v>2.7582089552239997</c:v>
                </c:pt>
                <c:pt idx="276">
                  <c:v>2.8327164179105666</c:v>
                </c:pt>
                <c:pt idx="277">
                  <c:v>2.9072238805971335</c:v>
                </c:pt>
                <c:pt idx="278">
                  <c:v>2.9817313432837005</c:v>
                </c:pt>
                <c:pt idx="279">
                  <c:v>3.4483596597822914</c:v>
                </c:pt>
                <c:pt idx="280">
                  <c:v>3.6721311475400897</c:v>
                </c:pt>
                <c:pt idx="281">
                  <c:v>3.2660421545659166</c:v>
                </c:pt>
                <c:pt idx="282">
                  <c:v>2.8599531615917435</c:v>
                </c:pt>
                <c:pt idx="283">
                  <c:v>2.4538641686175708</c:v>
                </c:pt>
                <c:pt idx="284">
                  <c:v>2.0477751756433982</c:v>
                </c:pt>
                <c:pt idx="285">
                  <c:v>1.9444444444450408</c:v>
                </c:pt>
                <c:pt idx="286">
                  <c:v>2.3043478260877519</c:v>
                </c:pt>
                <c:pt idx="287">
                  <c:v>2.139764705881686</c:v>
                </c:pt>
                <c:pt idx="288">
                  <c:v>1.8484705882346422</c:v>
                </c:pt>
                <c:pt idx="289">
                  <c:v>1.5571764705875981</c:v>
                </c:pt>
                <c:pt idx="290">
                  <c:v>1.2658823529405543</c:v>
                </c:pt>
                <c:pt idx="291">
                  <c:v>0.97458823529351024</c:v>
                </c:pt>
                <c:pt idx="292">
                  <c:v>0.68329411764646664</c:v>
                </c:pt>
                <c:pt idx="293">
                  <c:v>0.51401197604819426</c:v>
                </c:pt>
                <c:pt idx="294">
                  <c:v>0.66299401197632402</c:v>
                </c:pt>
                <c:pt idx="295">
                  <c:v>1.1473941368090639</c:v>
                </c:pt>
                <c:pt idx="296">
                  <c:v>1.7941368078189386</c:v>
                </c:pt>
                <c:pt idx="297">
                  <c:v>2.2506857483602589</c:v>
                </c:pt>
                <c:pt idx="298">
                  <c:v>2.2955277280859612</c:v>
                </c:pt>
                <c:pt idx="299">
                  <c:v>2.3403697078116639</c:v>
                </c:pt>
                <c:pt idx="300">
                  <c:v>2.3852116875373661</c:v>
                </c:pt>
                <c:pt idx="301">
                  <c:v>2.4300536672630684</c:v>
                </c:pt>
                <c:pt idx="302">
                  <c:v>2.4748956469887711</c:v>
                </c:pt>
                <c:pt idx="303">
                  <c:v>2.5197376267144733</c:v>
                </c:pt>
                <c:pt idx="304">
                  <c:v>1.6479382972410024</c:v>
                </c:pt>
                <c:pt idx="305">
                  <c:v>1.5674873924649733</c:v>
                </c:pt>
                <c:pt idx="306">
                  <c:v>1.4870364876889441</c:v>
                </c:pt>
                <c:pt idx="307">
                  <c:v>1.406585582912915</c:v>
                </c:pt>
                <c:pt idx="308">
                  <c:v>1.3261346781368859</c:v>
                </c:pt>
                <c:pt idx="309">
                  <c:v>1.2456837733608568</c:v>
                </c:pt>
                <c:pt idx="310">
                  <c:v>1.3209975864849761</c:v>
                </c:pt>
                <c:pt idx="311">
                  <c:v>1.6606596942887033</c:v>
                </c:pt>
                <c:pt idx="312">
                  <c:v>2.0003218020924307</c:v>
                </c:pt>
                <c:pt idx="313">
                  <c:v>2.1523353293416183</c:v>
                </c:pt>
                <c:pt idx="314">
                  <c:v>2.1872887085865775</c:v>
                </c:pt>
                <c:pt idx="315">
                  <c:v>2.0368492224472874</c:v>
                </c:pt>
                <c:pt idx="316">
                  <c:v>1.8864097363079968</c:v>
                </c:pt>
                <c:pt idx="317">
                  <c:v>1.7359702501687062</c:v>
                </c:pt>
                <c:pt idx="318">
                  <c:v>1.5855307640294156</c:v>
                </c:pt>
                <c:pt idx="319">
                  <c:v>1.435091277890125</c:v>
                </c:pt>
                <c:pt idx="320">
                  <c:v>1.1053864168608913</c:v>
                </c:pt>
                <c:pt idx="321">
                  <c:v>0.74712421459729517</c:v>
                </c:pt>
                <c:pt idx="322">
                  <c:v>1.1191880135340111</c:v>
                </c:pt>
                <c:pt idx="323">
                  <c:v>1.4912518124707268</c:v>
                </c:pt>
                <c:pt idx="324">
                  <c:v>1.8633156114074427</c:v>
                </c:pt>
                <c:pt idx="325">
                  <c:v>2.2023809523809517</c:v>
                </c:pt>
                <c:pt idx="326">
                  <c:v>2.2028571428571415</c:v>
                </c:pt>
                <c:pt idx="327">
                  <c:v>2.2033333333333309</c:v>
                </c:pt>
                <c:pt idx="328">
                  <c:v>2.2038095238095203</c:v>
                </c:pt>
                <c:pt idx="329">
                  <c:v>2.2042857142857097</c:v>
                </c:pt>
                <c:pt idx="330">
                  <c:v>2.0935307872165212</c:v>
                </c:pt>
                <c:pt idx="331">
                  <c:v>1.6494154325789014</c:v>
                </c:pt>
                <c:pt idx="332">
                  <c:v>1.2053000779412817</c:v>
                </c:pt>
                <c:pt idx="333">
                  <c:v>1.2311430527039975</c:v>
                </c:pt>
                <c:pt idx="334">
                  <c:v>1.3843942505137323</c:v>
                </c:pt>
                <c:pt idx="335">
                  <c:v>1.5376454483234669</c:v>
                </c:pt>
                <c:pt idx="336">
                  <c:v>1.6908966461332016</c:v>
                </c:pt>
                <c:pt idx="337">
                  <c:v>1.8441478439429364</c:v>
                </c:pt>
                <c:pt idx="338">
                  <c:v>1.9190588235285611</c:v>
                </c:pt>
                <c:pt idx="339">
                  <c:v>1.6277647058815654</c:v>
                </c:pt>
                <c:pt idx="340">
                  <c:v>1.5517035265991956</c:v>
                </c:pt>
                <c:pt idx="341">
                  <c:v>1.6559473998807326</c:v>
                </c:pt>
                <c:pt idx="342">
                  <c:v>1.7601912731622693</c:v>
                </c:pt>
                <c:pt idx="343">
                  <c:v>1.7408384361744695</c:v>
                </c:pt>
                <c:pt idx="344">
                  <c:v>1.4726330664147302</c:v>
                </c:pt>
                <c:pt idx="345">
                  <c:v>1.2044276966549912</c:v>
                </c:pt>
                <c:pt idx="346">
                  <c:v>0.93622232689525209</c:v>
                </c:pt>
                <c:pt idx="347">
                  <c:v>0.80375360924026695</c:v>
                </c:pt>
                <c:pt idx="348">
                  <c:v>1.066794995188294</c:v>
                </c:pt>
                <c:pt idx="349">
                  <c:v>1.329836381136321</c:v>
                </c:pt>
                <c:pt idx="350">
                  <c:v>1.5928777670843481</c:v>
                </c:pt>
                <c:pt idx="351">
                  <c:v>1.7861904761904752</c:v>
                </c:pt>
                <c:pt idx="352">
                  <c:v>1.7866666666666648</c:v>
                </c:pt>
                <c:pt idx="353">
                  <c:v>1.7871428571428545</c:v>
                </c:pt>
                <c:pt idx="354">
                  <c:v>1.7792256846075696</c:v>
                </c:pt>
                <c:pt idx="355">
                  <c:v>1.568932955617951</c:v>
                </c:pt>
                <c:pt idx="356">
                  <c:v>1.3586402266283324</c:v>
                </c:pt>
                <c:pt idx="357">
                  <c:v>1.148347497638714</c:v>
                </c:pt>
                <c:pt idx="358">
                  <c:v>0.93805476864909532</c:v>
                </c:pt>
                <c:pt idx="359">
                  <c:v>1.1064748201443693</c:v>
                </c:pt>
                <c:pt idx="360">
                  <c:v>1.2853717026383746</c:v>
                </c:pt>
                <c:pt idx="361">
                  <c:v>1.46426858513238</c:v>
                </c:pt>
                <c:pt idx="362">
                  <c:v>1.6063188128294699</c:v>
                </c:pt>
                <c:pt idx="363">
                  <c:v>1.7373863092392483</c:v>
                </c:pt>
                <c:pt idx="364">
                  <c:v>1.8684538056490267</c:v>
                </c:pt>
                <c:pt idx="365">
                  <c:v>1.9995213020588052</c:v>
                </c:pt>
                <c:pt idx="366">
                  <c:v>2.1669064748206983</c:v>
                </c:pt>
                <c:pt idx="367">
                  <c:v>2.3458033573146997</c:v>
                </c:pt>
                <c:pt idx="368">
                  <c:v>2.4434059405939008</c:v>
                </c:pt>
                <c:pt idx="369">
                  <c:v>2.3947722772275681</c:v>
                </c:pt>
                <c:pt idx="370">
                  <c:v>2.346138613861235</c:v>
                </c:pt>
                <c:pt idx="371">
                  <c:v>2.2975049504949023</c:v>
                </c:pt>
                <c:pt idx="372">
                  <c:v>2.2488712871285692</c:v>
                </c:pt>
                <c:pt idx="373">
                  <c:v>2.0669278996856226</c:v>
                </c:pt>
                <c:pt idx="374">
                  <c:v>1.7564263322874607</c:v>
                </c:pt>
                <c:pt idx="375">
                  <c:v>1.4677804295944568</c:v>
                </c:pt>
                <c:pt idx="376">
                  <c:v>1.527446300716182</c:v>
                </c:pt>
                <c:pt idx="377">
                  <c:v>1.5871121718379073</c:v>
                </c:pt>
                <c:pt idx="378">
                  <c:v>1.6467780429596326</c:v>
                </c:pt>
                <c:pt idx="379">
                  <c:v>1.7059033989268126</c:v>
                </c:pt>
                <c:pt idx="380">
                  <c:v>1.7507453786525096</c:v>
                </c:pt>
                <c:pt idx="381">
                  <c:v>1.7955873583782067</c:v>
                </c:pt>
                <c:pt idx="382">
                  <c:v>1.8404293381039036</c:v>
                </c:pt>
                <c:pt idx="383">
                  <c:v>1.5404454865169679</c:v>
                </c:pt>
                <c:pt idx="384">
                  <c:v>1.1629542790140976</c:v>
                </c:pt>
                <c:pt idx="385">
                  <c:v>0.78546307151122696</c:v>
                </c:pt>
                <c:pt idx="386">
                  <c:v>0.64439140811472717</c:v>
                </c:pt>
                <c:pt idx="387">
                  <c:v>0.704057279236454</c:v>
                </c:pt>
                <c:pt idx="388">
                  <c:v>0.76372315035818084</c:v>
                </c:pt>
                <c:pt idx="389">
                  <c:v>0.82338902147990767</c:v>
                </c:pt>
                <c:pt idx="390">
                  <c:v>0.29186602870854628</c:v>
                </c:pt>
                <c:pt idx="391">
                  <c:v>0.41100478468940971</c:v>
                </c:pt>
                <c:pt idx="392">
                  <c:v>0.53014354067027325</c:v>
                </c:pt>
                <c:pt idx="393">
                  <c:v>0.64928229665113668</c:v>
                </c:pt>
                <c:pt idx="394">
                  <c:v>0.76842105263200011</c:v>
                </c:pt>
                <c:pt idx="395">
                  <c:v>0.15008933889225207</c:v>
                </c:pt>
                <c:pt idx="396">
                  <c:v>0.1653365098273317</c:v>
                </c:pt>
                <c:pt idx="397">
                  <c:v>0.18058368076241132</c:v>
                </c:pt>
                <c:pt idx="398">
                  <c:v>0.19583085169749095</c:v>
                </c:pt>
                <c:pt idx="399">
                  <c:v>0.21107802263257058</c:v>
                </c:pt>
                <c:pt idx="400">
                  <c:v>0.22632519356765021</c:v>
                </c:pt>
                <c:pt idx="401">
                  <c:v>0.2526064464785418</c:v>
                </c:pt>
                <c:pt idx="402">
                  <c:v>0.32216474333489303</c:v>
                </c:pt>
                <c:pt idx="403">
                  <c:v>0.39172304019124426</c:v>
                </c:pt>
                <c:pt idx="404">
                  <c:v>0.46128133704759555</c:v>
                </c:pt>
                <c:pt idx="405">
                  <c:v>0.53083963390394684</c:v>
                </c:pt>
                <c:pt idx="406">
                  <c:v>0.5854588796186988</c:v>
                </c:pt>
                <c:pt idx="407">
                  <c:v>0.61549463647209779</c:v>
                </c:pt>
                <c:pt idx="408">
                  <c:v>0.64553039332549667</c:v>
                </c:pt>
                <c:pt idx="409">
                  <c:v>0.67556615017889565</c:v>
                </c:pt>
                <c:pt idx="410">
                  <c:v>0.70560190703229453</c:v>
                </c:pt>
                <c:pt idx="411">
                  <c:v>0.73563766388569352</c:v>
                </c:pt>
                <c:pt idx="412">
                  <c:v>0.76567342073909239</c:v>
                </c:pt>
                <c:pt idx="413">
                  <c:v>0.79570917759249138</c:v>
                </c:pt>
                <c:pt idx="414">
                  <c:v>0.36483870967874665</c:v>
                </c:pt>
                <c:pt idx="415">
                  <c:v>0.76532258064658931</c:v>
                </c:pt>
                <c:pt idx="416">
                  <c:v>1.1658064516144317</c:v>
                </c:pt>
                <c:pt idx="417">
                  <c:v>1.063668639052699</c:v>
                </c:pt>
                <c:pt idx="418">
                  <c:v>0.91739644970359646</c:v>
                </c:pt>
                <c:pt idx="419">
                  <c:v>0.77112426035449388</c:v>
                </c:pt>
                <c:pt idx="420">
                  <c:v>0.62485207100539109</c:v>
                </c:pt>
                <c:pt idx="421">
                  <c:v>0.4785798816562884</c:v>
                </c:pt>
                <c:pt idx="422">
                  <c:v>0.33230769230718582</c:v>
                </c:pt>
                <c:pt idx="423">
                  <c:v>0.24909600643405408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4-45E5-B878-F0D016D58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344479"/>
        <c:axId val="1502328639"/>
      </c:scatterChart>
      <c:valAx>
        <c:axId val="150234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328639"/>
        <c:crosses val="autoZero"/>
        <c:crossBetween val="midCat"/>
      </c:valAx>
      <c:valAx>
        <c:axId val="150232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34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158750</xdr:colOff>
      <xdr:row>7</xdr:row>
      <xdr:rowOff>111126</xdr:rowOff>
    </xdr:from>
    <xdr:to>
      <xdr:col>7</xdr:col>
      <xdr:colOff>5823161</xdr:colOff>
      <xdr:row>19</xdr:row>
      <xdr:rowOff>133162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46BA41-E8F5-68DB-C1E2-777FCE877D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778" t="31940" r="15080" b="22645"/>
        <a:stretch>
          <a:fillRect/>
        </a:stretch>
      </xdr:blipFill>
      <xdr:spPr>
        <a:xfrm>
          <a:off x="5492750" y="1635126"/>
          <a:ext cx="5664411" cy="2308036"/>
        </a:xfrm>
        <a:prstGeom prst="rect">
          <a:avLst/>
        </a:prstGeom>
      </xdr:spPr>
    </xdr:pic>
    <xdr:clientData/>
  </xdr:twoCellAnchor>
  <xdr:twoCellAnchor editAs="oneCell">
    <xdr:from>
      <xdr:col>7</xdr:col>
      <xdr:colOff>79374</xdr:colOff>
      <xdr:row>20</xdr:row>
      <xdr:rowOff>154345</xdr:rowOff>
    </xdr:from>
    <xdr:to>
      <xdr:col>7</xdr:col>
      <xdr:colOff>5794375</xdr:colOff>
      <xdr:row>36</xdr:row>
      <xdr:rowOff>42348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C0C4B0-C833-15C7-0FA8-2447A83341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617" t="16802" r="17151" b="20981"/>
        <a:stretch>
          <a:fillRect/>
        </a:stretch>
      </xdr:blipFill>
      <xdr:spPr>
        <a:xfrm>
          <a:off x="5413374" y="4154845"/>
          <a:ext cx="5715001" cy="2936003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37</xdr:row>
      <xdr:rowOff>79375</xdr:rowOff>
    </xdr:from>
    <xdr:to>
      <xdr:col>7</xdr:col>
      <xdr:colOff>5718423</xdr:colOff>
      <xdr:row>53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946B20-7F26-7225-ECB5-605C8C7FF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14</xdr:row>
      <xdr:rowOff>157162</xdr:rowOff>
    </xdr:from>
    <xdr:to>
      <xdr:col>11</xdr:col>
      <xdr:colOff>581025</xdr:colOff>
      <xdr:row>29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F00672-2584-D9E8-F539-8A4F168E5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7BC4-1FF8-4B04-B2EB-966208E944A1}">
  <dimension ref="B3:H143"/>
  <sheetViews>
    <sheetView zoomScale="130" zoomScaleNormal="130" workbookViewId="0">
      <selection activeCell="E9" sqref="E9"/>
    </sheetView>
  </sheetViews>
  <sheetFormatPr defaultRowHeight="15" x14ac:dyDescent="0.25"/>
  <cols>
    <col min="2" max="3" width="17.28515625" style="3" customWidth="1"/>
    <col min="8" max="8" width="174.5703125" customWidth="1"/>
  </cols>
  <sheetData>
    <row r="3" spans="2:8" ht="30" x14ac:dyDescent="0.25">
      <c r="H3" s="5" t="s">
        <v>13</v>
      </c>
    </row>
    <row r="5" spans="2:8" x14ac:dyDescent="0.25">
      <c r="H5" t="s">
        <v>14</v>
      </c>
    </row>
    <row r="6" spans="2:8" x14ac:dyDescent="0.25">
      <c r="B6" s="2" t="s">
        <v>5</v>
      </c>
      <c r="C6" s="2" t="s">
        <v>6</v>
      </c>
      <c r="H6" t="s">
        <v>15</v>
      </c>
    </row>
    <row r="7" spans="2:8" x14ac:dyDescent="0.25">
      <c r="B7" s="3">
        <v>1.3709414181755299</v>
      </c>
      <c r="C7" s="3">
        <v>6.5282924675003004E-3</v>
      </c>
    </row>
    <row r="8" spans="2:8" x14ac:dyDescent="0.25">
      <c r="B8" s="3">
        <v>2.0157063036423999</v>
      </c>
      <c r="C8" s="3">
        <v>0.10483669668401401</v>
      </c>
    </row>
    <row r="9" spans="2:8" x14ac:dyDescent="0.25">
      <c r="B9" s="3">
        <v>2.0934697874464701</v>
      </c>
      <c r="C9" s="3">
        <v>0.81949271327355699</v>
      </c>
    </row>
    <row r="10" spans="2:8" x14ac:dyDescent="0.25">
      <c r="B10" s="3">
        <v>2.6512547762139702</v>
      </c>
      <c r="C10" s="3">
        <v>2.4888154989343501</v>
      </c>
    </row>
    <row r="11" spans="2:8" x14ac:dyDescent="0.25">
      <c r="B11" s="3">
        <v>2.72844223421209</v>
      </c>
      <c r="C11" s="3">
        <v>3.3463259154010099</v>
      </c>
    </row>
    <row r="12" spans="2:8" x14ac:dyDescent="0.25">
      <c r="B12" s="3">
        <v>3.0475605307117699</v>
      </c>
      <c r="C12" s="3">
        <v>4.2049883834795798</v>
      </c>
    </row>
    <row r="13" spans="2:8" x14ac:dyDescent="0.25">
      <c r="B13" s="3">
        <v>3.44405829381156</v>
      </c>
      <c r="C13" s="3">
        <v>5.8735431347324303</v>
      </c>
    </row>
    <row r="14" spans="2:8" x14ac:dyDescent="0.25">
      <c r="B14" s="3">
        <v>3.5210537432076898</v>
      </c>
      <c r="C14" s="3">
        <v>6.7786716844914601</v>
      </c>
    </row>
    <row r="15" spans="2:8" x14ac:dyDescent="0.25">
      <c r="B15" s="3">
        <v>3.67773276242775</v>
      </c>
      <c r="C15" s="3">
        <v>7.9222749179163197</v>
      </c>
    </row>
    <row r="16" spans="2:8" x14ac:dyDescent="0.25">
      <c r="B16" s="3">
        <v>3.9087191106161501</v>
      </c>
      <c r="C16" s="3">
        <v>10.6376605671934</v>
      </c>
    </row>
    <row r="17" spans="2:3" x14ac:dyDescent="0.25">
      <c r="B17" s="3">
        <v>4.31731341564101</v>
      </c>
      <c r="C17" s="3">
        <v>9.30627292102686</v>
      </c>
    </row>
    <row r="18" spans="2:3" x14ac:dyDescent="0.25">
      <c r="B18" s="3">
        <v>4.4663120907816598</v>
      </c>
      <c r="C18" s="3">
        <v>12.3546014861465</v>
      </c>
    </row>
    <row r="19" spans="2:3" x14ac:dyDescent="0.25">
      <c r="B19" s="3">
        <v>4.6354716691307702</v>
      </c>
      <c r="C19" s="3">
        <v>10.403026055567199</v>
      </c>
    </row>
    <row r="20" spans="2:3" x14ac:dyDescent="0.25">
      <c r="B20" s="3">
        <v>5.2656439008467499</v>
      </c>
      <c r="C20" s="3">
        <v>14.120312590004</v>
      </c>
    </row>
    <row r="21" spans="2:3" x14ac:dyDescent="0.25">
      <c r="B21" s="3">
        <v>5.5991628424953399</v>
      </c>
      <c r="C21" s="3">
        <v>11.407615061154701</v>
      </c>
    </row>
    <row r="22" spans="2:3" x14ac:dyDescent="0.25">
      <c r="B22" s="3">
        <v>5.75238570687966</v>
      </c>
      <c r="C22" s="3">
        <v>13.408344693842199</v>
      </c>
    </row>
    <row r="23" spans="2:3" x14ac:dyDescent="0.25">
      <c r="B23" s="3">
        <v>5.9971966744110103</v>
      </c>
      <c r="C23" s="3">
        <v>12.6952247460686</v>
      </c>
    </row>
    <row r="24" spans="2:3" x14ac:dyDescent="0.25">
      <c r="B24" s="3">
        <v>6.0670878055336797</v>
      </c>
      <c r="C24" s="3">
        <v>15.362224227645299</v>
      </c>
    </row>
    <row r="25" spans="2:3" x14ac:dyDescent="0.25">
      <c r="B25" s="3">
        <v>6.3151629192987802</v>
      </c>
      <c r="C25" s="3">
        <v>13.839596013901399</v>
      </c>
    </row>
    <row r="26" spans="2:3" x14ac:dyDescent="0.25">
      <c r="B26" s="3">
        <v>6.4687698008870704</v>
      </c>
      <c r="C26" s="3">
        <v>15.745089380004201</v>
      </c>
    </row>
    <row r="27" spans="2:3" x14ac:dyDescent="0.25">
      <c r="B27" s="3">
        <v>6.7978725446899997</v>
      </c>
      <c r="C27" s="3">
        <v>14.127608916879399</v>
      </c>
    </row>
    <row r="28" spans="2:3" x14ac:dyDescent="0.25">
      <c r="B28" s="3">
        <v>6.9543595553080699</v>
      </c>
      <c r="C28" s="3">
        <v>15.3188302835967</v>
      </c>
    </row>
    <row r="29" spans="2:3" x14ac:dyDescent="0.25">
      <c r="B29" s="3">
        <v>7.1104625487221798</v>
      </c>
      <c r="C29" s="3">
        <v>16.6052879168986</v>
      </c>
    </row>
    <row r="30" spans="2:3" x14ac:dyDescent="0.25">
      <c r="B30" s="3">
        <v>7.4278527678039898</v>
      </c>
      <c r="C30" s="3">
        <v>17.892513584608501</v>
      </c>
    </row>
    <row r="31" spans="2:3" x14ac:dyDescent="0.25">
      <c r="B31" s="3">
        <v>7.6820721568326196</v>
      </c>
      <c r="C31" s="3">
        <v>14.8461051055087</v>
      </c>
    </row>
    <row r="32" spans="2:3" x14ac:dyDescent="0.25">
      <c r="B32" s="3">
        <v>7.9954301952727498</v>
      </c>
      <c r="C32" s="3">
        <v>17.133311572358402</v>
      </c>
    </row>
    <row r="33" spans="2:3" x14ac:dyDescent="0.25">
      <c r="B33" s="3">
        <v>8.16958199727347</v>
      </c>
      <c r="C33" s="3">
        <v>13.9436646761774</v>
      </c>
    </row>
    <row r="34" spans="2:3" x14ac:dyDescent="0.25">
      <c r="B34" s="3">
        <v>8.3982642422380493</v>
      </c>
      <c r="C34" s="3">
        <v>17.230467924963001</v>
      </c>
    </row>
    <row r="35" spans="2:3" x14ac:dyDescent="0.25">
      <c r="B35" s="3">
        <v>8.57491215606459</v>
      </c>
      <c r="C35" s="3">
        <v>13.4217852959812</v>
      </c>
    </row>
    <row r="36" spans="2:3" x14ac:dyDescent="0.25">
      <c r="B36" s="3">
        <v>8.8158829515562296</v>
      </c>
      <c r="C36" s="3">
        <v>13.661028014055001</v>
      </c>
    </row>
    <row r="37" spans="2:3" x14ac:dyDescent="0.25">
      <c r="B37" s="3">
        <v>9.0509014803863206</v>
      </c>
      <c r="C37" s="3">
        <v>15.376432864192299</v>
      </c>
    </row>
    <row r="38" spans="2:3" x14ac:dyDescent="0.25">
      <c r="B38" s="3">
        <v>9.2997446285593597</v>
      </c>
      <c r="C38" s="3">
        <v>13.6633321172788</v>
      </c>
    </row>
    <row r="39" spans="2:3" x14ac:dyDescent="0.25">
      <c r="B39" s="3">
        <v>9.5366832434092998</v>
      </c>
      <c r="C39" s="3">
        <v>14.9025556344924</v>
      </c>
    </row>
    <row r="40" spans="2:3" x14ac:dyDescent="0.25">
      <c r="B40" s="3">
        <v>9.6190549336610207</v>
      </c>
      <c r="C40" s="3">
        <v>14.474376452065</v>
      </c>
    </row>
    <row r="41" spans="2:3" x14ac:dyDescent="0.25">
      <c r="B41" s="3">
        <v>9.8596417119486901</v>
      </c>
      <c r="C41" s="3">
        <v>14.808855436723499</v>
      </c>
    </row>
    <row r="42" spans="2:3" x14ac:dyDescent="0.25">
      <c r="B42" s="3">
        <v>9.9508457978917395</v>
      </c>
      <c r="C42" s="3">
        <v>12.190242122847099</v>
      </c>
    </row>
    <row r="43" spans="2:3" x14ac:dyDescent="0.25">
      <c r="B43" s="3">
        <v>10.347919586797399</v>
      </c>
      <c r="C43" s="3">
        <v>13.7159424742228</v>
      </c>
    </row>
    <row r="44" spans="2:3" x14ac:dyDescent="0.25">
      <c r="B44" s="3">
        <v>10.499606382365901</v>
      </c>
      <c r="C44" s="3">
        <v>16.097617173249301</v>
      </c>
    </row>
    <row r="45" spans="2:3" x14ac:dyDescent="0.25">
      <c r="B45" s="3">
        <v>10.822948868109201</v>
      </c>
      <c r="C45" s="3">
        <v>15.9086807088957</v>
      </c>
    </row>
    <row r="46" spans="2:3" x14ac:dyDescent="0.25">
      <c r="B46" s="3">
        <v>11.079856377565701</v>
      </c>
      <c r="C46" s="3">
        <v>12.1956183637026</v>
      </c>
    </row>
    <row r="47" spans="2:3" x14ac:dyDescent="0.25">
      <c r="B47" s="3">
        <v>11.4830744417349</v>
      </c>
      <c r="C47" s="3">
        <v>12.197538449722501</v>
      </c>
    </row>
    <row r="48" spans="2:3" x14ac:dyDescent="0.25">
      <c r="B48" s="3">
        <v>11.8801482306407</v>
      </c>
      <c r="C48" s="3">
        <v>13.7232388010982</v>
      </c>
    </row>
    <row r="49" spans="2:3" x14ac:dyDescent="0.25">
      <c r="B49" s="3">
        <v>12.2088669572396</v>
      </c>
      <c r="C49" s="3">
        <v>12.200994604558201</v>
      </c>
    </row>
    <row r="50" spans="2:3" x14ac:dyDescent="0.25">
      <c r="B50" s="3">
        <v>12.540465812868399</v>
      </c>
      <c r="C50" s="3">
        <v>9.9644784086327007</v>
      </c>
    </row>
    <row r="51" spans="2:3" x14ac:dyDescent="0.25">
      <c r="B51" s="3">
        <v>12.9358115243562</v>
      </c>
      <c r="C51" s="3">
        <v>11.9187419596397</v>
      </c>
    </row>
    <row r="52" spans="2:3" x14ac:dyDescent="0.25">
      <c r="B52" s="3">
        <v>13.345941898196999</v>
      </c>
      <c r="C52" s="3">
        <v>10.2064092471342</v>
      </c>
    </row>
    <row r="53" spans="2:3" x14ac:dyDescent="0.25">
      <c r="B53" s="3">
        <v>13.661988057064899</v>
      </c>
      <c r="C53" s="3">
        <v>11.826961847890701</v>
      </c>
    </row>
    <row r="54" spans="2:3" x14ac:dyDescent="0.25">
      <c r="B54" s="3">
        <v>13.9054549643824</v>
      </c>
      <c r="C54" s="3">
        <v>11.447168833163699</v>
      </c>
    </row>
    <row r="55" spans="2:3" x14ac:dyDescent="0.25">
      <c r="B55" s="3">
        <v>14.151802000729599</v>
      </c>
      <c r="C55" s="3">
        <v>10.353103819051</v>
      </c>
    </row>
    <row r="56" spans="2:3" x14ac:dyDescent="0.25">
      <c r="B56" s="3">
        <v>14.3872045467636</v>
      </c>
      <c r="C56" s="3">
        <v>11.9732724026036</v>
      </c>
    </row>
    <row r="57" spans="2:3" x14ac:dyDescent="0.25">
      <c r="B57" s="3">
        <v>14.801943127052001</v>
      </c>
      <c r="C57" s="3">
        <v>9.1181044910811995</v>
      </c>
    </row>
    <row r="58" spans="2:3" x14ac:dyDescent="0.25">
      <c r="B58" s="3">
        <v>15.4390276684395</v>
      </c>
      <c r="C58" s="3">
        <v>11.1211382269925</v>
      </c>
    </row>
    <row r="59" spans="2:3" x14ac:dyDescent="0.25">
      <c r="B59" s="3">
        <v>15.446131986713</v>
      </c>
      <c r="C59" s="3">
        <v>9.3592672951748206</v>
      </c>
    </row>
    <row r="60" spans="2:3" x14ac:dyDescent="0.25">
      <c r="B60" s="3">
        <v>15.767170369232501</v>
      </c>
      <c r="C60" s="3">
        <v>9.74174843032967</v>
      </c>
    </row>
    <row r="61" spans="2:3" x14ac:dyDescent="0.25">
      <c r="B61" s="3">
        <v>15.772162592884101</v>
      </c>
      <c r="C61" s="3">
        <v>8.5036769647280206</v>
      </c>
    </row>
    <row r="62" spans="2:3" x14ac:dyDescent="0.25">
      <c r="B62" s="3">
        <v>16.248727943011801</v>
      </c>
      <c r="C62" s="3">
        <v>10.315470133061901</v>
      </c>
    </row>
    <row r="63" spans="2:3" x14ac:dyDescent="0.25">
      <c r="B63" s="3">
        <v>16.264088631170601</v>
      </c>
      <c r="C63" s="3">
        <v>6.50601946967224</v>
      </c>
    </row>
    <row r="64" spans="2:3" x14ac:dyDescent="0.25">
      <c r="B64" s="3">
        <v>16.817649430694399</v>
      </c>
      <c r="C64" s="3">
        <v>9.2229411877652101</v>
      </c>
    </row>
    <row r="65" spans="2:3" x14ac:dyDescent="0.25">
      <c r="B65" s="3">
        <v>16.983160845605799</v>
      </c>
      <c r="C65" s="3">
        <v>8.1761102897409792</v>
      </c>
    </row>
    <row r="66" spans="2:3" x14ac:dyDescent="0.25">
      <c r="B66" s="3">
        <v>17.228355830341201</v>
      </c>
      <c r="C66" s="3">
        <v>7.3677540753825701</v>
      </c>
    </row>
    <row r="67" spans="2:3" x14ac:dyDescent="0.25">
      <c r="B67" s="3">
        <v>17.3854188667652</v>
      </c>
      <c r="C67" s="3">
        <v>8.4161210422226898</v>
      </c>
    </row>
    <row r="68" spans="2:3" x14ac:dyDescent="0.25">
      <c r="B68" s="3">
        <v>17.635030049346199</v>
      </c>
      <c r="C68" s="3">
        <v>6.5125477621397403</v>
      </c>
    </row>
    <row r="69" spans="2:3" x14ac:dyDescent="0.25">
      <c r="B69" s="3">
        <v>17.9535723200399</v>
      </c>
      <c r="C69" s="3">
        <v>7.5140646300954197</v>
      </c>
    </row>
    <row r="70" spans="2:3" x14ac:dyDescent="0.25">
      <c r="B70" s="3">
        <v>18.2006873907951</v>
      </c>
      <c r="C70" s="3">
        <v>6.2295270828133003</v>
      </c>
    </row>
    <row r="71" spans="2:3" x14ac:dyDescent="0.25">
      <c r="B71" s="3">
        <v>18.4355139110232</v>
      </c>
      <c r="C71" s="3">
        <v>7.99255006624296</v>
      </c>
    </row>
    <row r="72" spans="2:3" x14ac:dyDescent="0.25">
      <c r="B72" s="3">
        <v>18.769416869875698</v>
      </c>
      <c r="C72" s="3">
        <v>5.1846162708089301</v>
      </c>
    </row>
    <row r="73" spans="2:3" x14ac:dyDescent="0.25">
      <c r="B73" s="3">
        <v>19.167642710393402</v>
      </c>
      <c r="C73" s="3">
        <v>6.4246078224304402</v>
      </c>
    </row>
    <row r="74" spans="2:3" x14ac:dyDescent="0.25">
      <c r="B74" s="3">
        <v>19.333538142508701</v>
      </c>
      <c r="C74" s="3">
        <v>5.2825406578214702</v>
      </c>
    </row>
    <row r="75" spans="2:3" x14ac:dyDescent="0.25">
      <c r="B75" s="3">
        <v>19.657840671262001</v>
      </c>
      <c r="C75" s="3">
        <v>4.8555135270060097</v>
      </c>
    </row>
    <row r="76" spans="2:3" x14ac:dyDescent="0.25">
      <c r="B76" s="3">
        <v>19.812791613064199</v>
      </c>
      <c r="C76" s="3">
        <v>6.4276799600622097</v>
      </c>
    </row>
    <row r="77" spans="2:3" x14ac:dyDescent="0.25">
      <c r="B77" s="3">
        <v>20.136134098807599</v>
      </c>
      <c r="C77" s="3">
        <v>6.2387434957085999</v>
      </c>
    </row>
    <row r="78" spans="2:3" x14ac:dyDescent="0.25">
      <c r="B78" s="3">
        <v>20.382289126552799</v>
      </c>
      <c r="C78" s="3">
        <v>5.19229661488834</v>
      </c>
    </row>
    <row r="79" spans="2:3" x14ac:dyDescent="0.25">
      <c r="B79" s="3">
        <v>20.468500988844301</v>
      </c>
      <c r="C79" s="3">
        <v>3.8117547666135398</v>
      </c>
    </row>
    <row r="80" spans="2:3" x14ac:dyDescent="0.25">
      <c r="B80" s="3">
        <v>20.8684549067798</v>
      </c>
      <c r="C80" s="3">
        <v>4.62318311860371</v>
      </c>
    </row>
    <row r="81" spans="2:3" x14ac:dyDescent="0.25">
      <c r="B81" s="3">
        <v>21.185845125861601</v>
      </c>
      <c r="C81" s="3">
        <v>5.9104087863136199</v>
      </c>
    </row>
    <row r="82" spans="2:3" x14ac:dyDescent="0.25">
      <c r="B82" s="3">
        <v>21.5105316718188</v>
      </c>
      <c r="C82" s="3">
        <v>5.3881453889134203</v>
      </c>
    </row>
    <row r="83" spans="2:3" x14ac:dyDescent="0.25">
      <c r="B83" s="3">
        <v>21.828689925308598</v>
      </c>
      <c r="C83" s="3">
        <v>6.4848985234538503</v>
      </c>
    </row>
    <row r="84" spans="2:3" x14ac:dyDescent="0.25">
      <c r="B84" s="3">
        <v>22.161632841151199</v>
      </c>
      <c r="C84" s="3">
        <v>3.9150553944816702</v>
      </c>
    </row>
    <row r="85" spans="2:3" x14ac:dyDescent="0.25">
      <c r="B85" s="3">
        <v>22.397227395787301</v>
      </c>
      <c r="C85" s="3">
        <v>5.4876058447418403</v>
      </c>
    </row>
    <row r="86" spans="2:3" x14ac:dyDescent="0.25">
      <c r="B86" s="3">
        <v>22.804861657802199</v>
      </c>
      <c r="C86" s="3">
        <v>4.39430886503715</v>
      </c>
    </row>
    <row r="87" spans="2:3" x14ac:dyDescent="0.25">
      <c r="B87" s="3">
        <v>22.964228797450101</v>
      </c>
      <c r="C87" s="3">
        <v>4.8712582323688096</v>
      </c>
    </row>
    <row r="88" spans="2:3" x14ac:dyDescent="0.25">
      <c r="B88" s="3">
        <v>23.1322363241873</v>
      </c>
      <c r="C88" s="3">
        <v>3.20539160154375</v>
      </c>
    </row>
    <row r="89" spans="2:3" x14ac:dyDescent="0.25">
      <c r="B89" s="3">
        <v>23.4523146636969</v>
      </c>
      <c r="C89" s="3">
        <v>3.8259634031604599</v>
      </c>
    </row>
    <row r="90" spans="2:3" x14ac:dyDescent="0.25">
      <c r="B90" s="3">
        <v>23.778921295673999</v>
      </c>
      <c r="C90" s="3">
        <v>2.8275186728365398</v>
      </c>
    </row>
    <row r="91" spans="2:3" x14ac:dyDescent="0.25">
      <c r="B91" s="3">
        <v>24.2599028436473</v>
      </c>
      <c r="C91" s="3">
        <v>3.54409477544593</v>
      </c>
    </row>
    <row r="92" spans="2:3" x14ac:dyDescent="0.25">
      <c r="B92" s="3">
        <v>24.576909045525198</v>
      </c>
      <c r="C92" s="3">
        <v>4.9265567097405896</v>
      </c>
    </row>
    <row r="93" spans="2:3" x14ac:dyDescent="0.25">
      <c r="B93" s="3">
        <v>25.234538507325102</v>
      </c>
      <c r="C93" s="3">
        <v>1.8344501833682101</v>
      </c>
    </row>
    <row r="94" spans="2:3" x14ac:dyDescent="0.25">
      <c r="B94" s="3">
        <v>25.556536932854499</v>
      </c>
      <c r="C94" s="3">
        <v>1.9788406520612101</v>
      </c>
    </row>
    <row r="95" spans="2:3" x14ac:dyDescent="0.25">
      <c r="B95" s="3">
        <v>25.7203202703481</v>
      </c>
      <c r="C95" s="3">
        <v>1.36057295366832</v>
      </c>
    </row>
    <row r="96" spans="2:3" x14ac:dyDescent="0.25">
      <c r="B96" s="3">
        <v>25.965899272287398</v>
      </c>
      <c r="C96" s="3">
        <v>0.456980472725177</v>
      </c>
    </row>
    <row r="97" spans="2:3" x14ac:dyDescent="0.25">
      <c r="B97" s="3">
        <v>26.120082179681599</v>
      </c>
      <c r="C97" s="3">
        <v>2.2196194389508599</v>
      </c>
    </row>
    <row r="98" spans="2:3" x14ac:dyDescent="0.25">
      <c r="B98" s="3">
        <v>26.7686872371882</v>
      </c>
      <c r="C98" s="3">
        <v>1.36556517731994</v>
      </c>
    </row>
    <row r="99" spans="2:3" x14ac:dyDescent="0.25">
      <c r="B99" s="3">
        <v>26.8468347381962</v>
      </c>
      <c r="C99" s="3">
        <v>1.98498492732474</v>
      </c>
    </row>
    <row r="100" spans="2:3" x14ac:dyDescent="0.25">
      <c r="B100" s="3">
        <v>27.241412415276201</v>
      </c>
      <c r="C100" s="3">
        <v>4.1297210115013101</v>
      </c>
    </row>
    <row r="101" spans="2:3" x14ac:dyDescent="0.25">
      <c r="B101" s="3">
        <v>27.4889115032353</v>
      </c>
      <c r="C101" s="3">
        <v>2.7499471976344498</v>
      </c>
    </row>
    <row r="102" spans="2:3" x14ac:dyDescent="0.25">
      <c r="B102" s="3">
        <v>27.810525911560799</v>
      </c>
      <c r="C102" s="3">
        <v>2.9895739329121902</v>
      </c>
    </row>
    <row r="103" spans="2:3" x14ac:dyDescent="0.25">
      <c r="B103" s="3">
        <v>27.968548990994702</v>
      </c>
      <c r="C103" s="3">
        <v>3.79985023329044</v>
      </c>
    </row>
    <row r="104" spans="2:3" x14ac:dyDescent="0.25">
      <c r="B104" s="3">
        <v>28.460475029281302</v>
      </c>
      <c r="C104" s="3">
        <v>1.8021927382346701</v>
      </c>
    </row>
    <row r="105" spans="2:3" x14ac:dyDescent="0.25">
      <c r="B105" s="3">
        <v>28.619458151725102</v>
      </c>
      <c r="C105" s="3">
        <v>2.3743783721510701</v>
      </c>
    </row>
    <row r="106" spans="2:3" x14ac:dyDescent="0.25">
      <c r="B106" s="3">
        <v>29.272287398475399</v>
      </c>
      <c r="C106" s="3">
        <v>0.47272517808797598</v>
      </c>
    </row>
    <row r="107" spans="2:3" x14ac:dyDescent="0.25">
      <c r="B107" s="3">
        <v>29.432614581133201</v>
      </c>
      <c r="C107" s="3">
        <v>0.71158387895777797</v>
      </c>
    </row>
    <row r="108" spans="2:3" x14ac:dyDescent="0.25">
      <c r="B108" s="3">
        <v>29.668401144371199</v>
      </c>
      <c r="C108" s="3">
        <v>2.2365161959255699</v>
      </c>
    </row>
    <row r="109" spans="2:3" x14ac:dyDescent="0.25">
      <c r="B109" s="3">
        <v>30.3123979954301</v>
      </c>
      <c r="C109" s="3">
        <v>2.5252971333115601</v>
      </c>
    </row>
    <row r="110" spans="2:3" x14ac:dyDescent="0.25">
      <c r="B110" s="3">
        <v>30.3156621416639</v>
      </c>
      <c r="C110" s="3">
        <v>1.71578886734125</v>
      </c>
    </row>
    <row r="111" spans="2:3" x14ac:dyDescent="0.25">
      <c r="B111" s="3">
        <v>30.962923138956601</v>
      </c>
      <c r="C111" s="3">
        <v>1.1950615387569301</v>
      </c>
    </row>
    <row r="112" spans="2:3" x14ac:dyDescent="0.25">
      <c r="B112" s="3">
        <v>31.2015898312244</v>
      </c>
      <c r="C112" s="3">
        <v>2.0057218563391599</v>
      </c>
    </row>
    <row r="113" spans="2:3" x14ac:dyDescent="0.25">
      <c r="B113" s="3">
        <v>31.361917013882199</v>
      </c>
      <c r="C113" s="3">
        <v>2.2445805572089599</v>
      </c>
    </row>
    <row r="114" spans="2:3" x14ac:dyDescent="0.25">
      <c r="B114" s="3">
        <v>31.929878458554899</v>
      </c>
      <c r="C114" s="3">
        <v>1.39014227837407</v>
      </c>
    </row>
    <row r="115" spans="2:3" x14ac:dyDescent="0.25">
      <c r="B115" s="3">
        <v>32.093853804650401</v>
      </c>
      <c r="C115" s="3">
        <v>0.72425644668881195</v>
      </c>
    </row>
    <row r="116" spans="2:3" x14ac:dyDescent="0.25">
      <c r="B116" s="3">
        <v>32.491119602158101</v>
      </c>
      <c r="C116" s="3">
        <v>2.2023386647721801</v>
      </c>
    </row>
    <row r="117" spans="2:3" x14ac:dyDescent="0.25">
      <c r="B117" s="3">
        <v>32.974981279161298</v>
      </c>
      <c r="C117" s="3">
        <v>2.2046427679959999</v>
      </c>
    </row>
    <row r="118" spans="2:3" x14ac:dyDescent="0.25">
      <c r="B118" s="3">
        <v>33.221328315508501</v>
      </c>
      <c r="C118" s="3">
        <v>1.1105777538833701</v>
      </c>
    </row>
    <row r="119" spans="2:3" x14ac:dyDescent="0.25">
      <c r="B119" s="3">
        <v>33.782377450509699</v>
      </c>
      <c r="C119" s="3">
        <v>1.9703922735738499</v>
      </c>
    </row>
    <row r="120" spans="2:3" x14ac:dyDescent="0.25">
      <c r="B120" s="3">
        <v>33.945584762197299</v>
      </c>
      <c r="C120" s="3">
        <v>1.49497897505808</v>
      </c>
    </row>
    <row r="121" spans="2:3" x14ac:dyDescent="0.25">
      <c r="B121" s="3">
        <v>34.266815153318802</v>
      </c>
      <c r="C121" s="3">
        <v>1.8298419769205601</v>
      </c>
    </row>
    <row r="122" spans="2:3" x14ac:dyDescent="0.25">
      <c r="B122" s="3">
        <v>34.674449415333797</v>
      </c>
      <c r="C122" s="3">
        <v>0.73654499721587596</v>
      </c>
    </row>
    <row r="123" spans="2:3" x14ac:dyDescent="0.25">
      <c r="B123" s="3">
        <v>35.073443290259398</v>
      </c>
      <c r="C123" s="3">
        <v>1.7860640156679</v>
      </c>
    </row>
    <row r="124" spans="2:3" x14ac:dyDescent="0.25">
      <c r="B124" s="3">
        <v>35.396017741594797</v>
      </c>
      <c r="C124" s="3">
        <v>1.78760008448378</v>
      </c>
    </row>
    <row r="125" spans="2:3" x14ac:dyDescent="0.25">
      <c r="B125" s="3">
        <v>35.802691960599802</v>
      </c>
      <c r="C125" s="3">
        <v>0.93239377124094902</v>
      </c>
    </row>
    <row r="126" spans="2:3" x14ac:dyDescent="0.25">
      <c r="B126" s="3">
        <v>36.122962308711401</v>
      </c>
      <c r="C126" s="3">
        <v>1.5053474395652899</v>
      </c>
    </row>
    <row r="127" spans="2:3" x14ac:dyDescent="0.25">
      <c r="B127" s="3">
        <v>36.524068278258802</v>
      </c>
      <c r="C127" s="3">
        <v>2.0310669918012301</v>
      </c>
    </row>
    <row r="128" spans="2:3" x14ac:dyDescent="0.25">
      <c r="B128" s="3">
        <v>36.764271039342503</v>
      </c>
      <c r="C128" s="3">
        <v>2.4607822430444801</v>
      </c>
    </row>
    <row r="129" spans="2:3" x14ac:dyDescent="0.25">
      <c r="B129" s="3">
        <v>37.249092759355598</v>
      </c>
      <c r="C129" s="3">
        <v>2.2249956798064501</v>
      </c>
    </row>
    <row r="130" spans="2:3" x14ac:dyDescent="0.25">
      <c r="B130" s="3">
        <v>37.494095735488898</v>
      </c>
      <c r="C130" s="3">
        <v>1.4642575987404201</v>
      </c>
    </row>
    <row r="131" spans="2:3" x14ac:dyDescent="0.25">
      <c r="B131" s="3">
        <v>37.896353756648203</v>
      </c>
      <c r="C131" s="3">
        <v>1.7042683512221299</v>
      </c>
    </row>
    <row r="132" spans="2:3" x14ac:dyDescent="0.25">
      <c r="B132" s="3">
        <v>38.218352182177703</v>
      </c>
      <c r="C132" s="3">
        <v>1.8486588199151299</v>
      </c>
    </row>
    <row r="133" spans="2:3" x14ac:dyDescent="0.25">
      <c r="B133" s="3">
        <v>38.5459188571648</v>
      </c>
      <c r="C133" s="3">
        <v>0.61212342312935397</v>
      </c>
    </row>
    <row r="134" spans="2:3" x14ac:dyDescent="0.25">
      <c r="B134" s="3">
        <v>38.948176878324098</v>
      </c>
      <c r="C134" s="3">
        <v>0.85213417561106597</v>
      </c>
    </row>
    <row r="135" spans="2:3" x14ac:dyDescent="0.25">
      <c r="B135" s="3">
        <v>38.950672990149897</v>
      </c>
      <c r="C135" s="3">
        <v>0.233098442810238</v>
      </c>
    </row>
    <row r="136" spans="2:3" x14ac:dyDescent="0.25">
      <c r="B136" s="3">
        <v>39.432230563929203</v>
      </c>
      <c r="C136" s="3">
        <v>0.80682014554252302</v>
      </c>
    </row>
    <row r="137" spans="2:3" x14ac:dyDescent="0.25">
      <c r="B137" s="3">
        <v>39.434918684357001</v>
      </c>
      <c r="C137" s="3">
        <v>0.140166279449321</v>
      </c>
    </row>
    <row r="138" spans="2:3" x14ac:dyDescent="0.25">
      <c r="B138" s="3">
        <v>40.079683569823899</v>
      </c>
      <c r="C138" s="3">
        <v>0.238474683665828</v>
      </c>
    </row>
    <row r="139" spans="2:3" x14ac:dyDescent="0.25">
      <c r="B139" s="3">
        <v>40.562201186613102</v>
      </c>
      <c r="C139" s="3">
        <v>0.57410571993624804</v>
      </c>
    </row>
    <row r="140" spans="2:3" x14ac:dyDescent="0.25">
      <c r="B140" s="3">
        <v>41.367677271941702</v>
      </c>
      <c r="C140" s="3">
        <v>0.81603655843781897</v>
      </c>
    </row>
    <row r="141" spans="2:3" x14ac:dyDescent="0.25">
      <c r="B141" s="3">
        <v>41.369981375165601</v>
      </c>
      <c r="C141" s="3">
        <v>0.244618958929358</v>
      </c>
    </row>
    <row r="142" spans="2:3" x14ac:dyDescent="0.25">
      <c r="B142" s="3">
        <v>41.608072041627402</v>
      </c>
      <c r="C142" s="3">
        <v>1.1981336763887001</v>
      </c>
    </row>
    <row r="143" spans="2:3" x14ac:dyDescent="0.25">
      <c r="B143" s="3">
        <v>42.257061116338001</v>
      </c>
      <c r="C143" s="3">
        <v>0.24884314817303699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49E9-5553-49ED-8452-428653EA463B}">
  <dimension ref="F2:Z500"/>
  <sheetViews>
    <sheetView tabSelected="1" workbookViewId="0">
      <selection activeCell="N3" sqref="N3"/>
    </sheetView>
  </sheetViews>
  <sheetFormatPr defaultRowHeight="15" x14ac:dyDescent="0.25"/>
  <cols>
    <col min="6" max="6" width="14.42578125" style="3" customWidth="1"/>
    <col min="7" max="8" width="9.140625" style="3"/>
    <col min="9" max="9" width="12.5703125" style="3" customWidth="1"/>
    <col min="10" max="10" width="14.140625" style="3" customWidth="1"/>
    <col min="16" max="16" width="12.5703125" customWidth="1"/>
    <col min="17" max="17" width="13.7109375" customWidth="1"/>
    <col min="18" max="18" width="3" customWidth="1"/>
  </cols>
  <sheetData>
    <row r="2" spans="6:26" x14ac:dyDescent="0.25">
      <c r="I2" s="3">
        <f>MAX(I7:I143)</f>
        <v>42.257061116338001</v>
      </c>
      <c r="M2" s="4" t="s">
        <v>7</v>
      </c>
      <c r="N2" s="6">
        <v>10</v>
      </c>
      <c r="O2" t="s">
        <v>8</v>
      </c>
    </row>
    <row r="3" spans="6:26" x14ac:dyDescent="0.25">
      <c r="N3" t="str">
        <f>IF(I2*N2&gt;COUNTA(N7:N500),"not enough rows","")</f>
        <v/>
      </c>
    </row>
    <row r="4" spans="6:26" x14ac:dyDescent="0.25">
      <c r="P4" s="7" t="s">
        <v>5</v>
      </c>
      <c r="Q4" s="7"/>
      <c r="S4" s="7" t="s">
        <v>12</v>
      </c>
      <c r="T4" s="7"/>
    </row>
    <row r="5" spans="6:26" x14ac:dyDescent="0.25">
      <c r="I5" s="3" t="s">
        <v>5</v>
      </c>
      <c r="J5" s="3" t="s">
        <v>6</v>
      </c>
      <c r="N5" s="1" t="s">
        <v>5</v>
      </c>
      <c r="O5" s="1"/>
      <c r="P5" s="1" t="s">
        <v>9</v>
      </c>
      <c r="Q5" s="1" t="s">
        <v>10</v>
      </c>
      <c r="S5" s="1" t="s">
        <v>9</v>
      </c>
      <c r="T5" s="1" t="s">
        <v>10</v>
      </c>
      <c r="V5" s="1" t="s">
        <v>11</v>
      </c>
    </row>
    <row r="6" spans="6:26" x14ac:dyDescent="0.25">
      <c r="F6" s="2" t="s">
        <v>0</v>
      </c>
      <c r="G6" s="2" t="s">
        <v>1</v>
      </c>
      <c r="H6" s="2" t="s">
        <v>2</v>
      </c>
      <c r="I6" s="2" t="s">
        <v>3</v>
      </c>
      <c r="J6" s="2" t="s">
        <v>4</v>
      </c>
    </row>
    <row r="7" spans="6:26" x14ac:dyDescent="0.25">
      <c r="F7" s="3">
        <v>0</v>
      </c>
      <c r="G7" s="3">
        <v>111.12861736334401</v>
      </c>
      <c r="H7" s="3">
        <v>586.80064308681597</v>
      </c>
      <c r="I7" s="3">
        <v>1.3709414181755299</v>
      </c>
      <c r="J7" s="3">
        <v>6.5282924675003004E-3</v>
      </c>
      <c r="N7">
        <v>0</v>
      </c>
      <c r="P7" t="e">
        <f t="shared" ref="P7:P40" ca="1" si="0">OFFSET($I$7,MATCH($N7,$I$7:$I$143,1)-1,0)</f>
        <v>#N/A</v>
      </c>
      <c r="Q7" t="e">
        <f t="shared" ref="Q7:Q9" ca="1" si="1">OFFSET($I$7,MATCH($N7,$I$7:$I$143,1),0)</f>
        <v>#N/A</v>
      </c>
      <c r="S7" t="e">
        <f ca="1">OFFSET($J$7,MATCH($N7,$I$7:$I$143,1)-1,0)</f>
        <v>#N/A</v>
      </c>
      <c r="T7" t="e">
        <f ca="1">OFFSET($J$7,MATCH($N7,$I$7:$I$143,1),0)</f>
        <v>#N/A</v>
      </c>
      <c r="V7" t="str">
        <f t="shared" ref="V7:V70" ca="1" si="2">IFERROR(S7+(T7-S7)*((N7-P7)/(Q7-P7)),"")</f>
        <v/>
      </c>
      <c r="Y7">
        <f>IF(ISNUMBER(N7),N7,NA())</f>
        <v>0</v>
      </c>
      <c r="Z7" t="e">
        <f ca="1">IF(ISNUMBER(V7),V7,NA())</f>
        <v>#N/A</v>
      </c>
    </row>
    <row r="8" spans="6:26" x14ac:dyDescent="0.25">
      <c r="F8" s="3">
        <v>1</v>
      </c>
      <c r="G8" s="3">
        <v>119.43729903536899</v>
      </c>
      <c r="H8" s="3">
        <v>584.72347266881002</v>
      </c>
      <c r="I8" s="3">
        <v>2.0157063036423999</v>
      </c>
      <c r="J8" s="3">
        <v>0.10483669668401401</v>
      </c>
      <c r="N8">
        <f>IF(N7&lt;$I$2,N7+(1/N$2),"")</f>
        <v>0.1</v>
      </c>
      <c r="P8" t="e">
        <f t="shared" ca="1" si="0"/>
        <v>#N/A</v>
      </c>
      <c r="Q8" t="e">
        <f t="shared" ca="1" si="1"/>
        <v>#N/A</v>
      </c>
      <c r="S8" t="e">
        <f t="shared" ref="S8:S71" ca="1" si="3">OFFSET($J$7,MATCH($N8,$I$7:$I$143,1)-1,0)</f>
        <v>#N/A</v>
      </c>
      <c r="T8" t="e">
        <f t="shared" ref="T8:T71" ca="1" si="4">OFFSET($J$7,MATCH($N8,$I$7:$I$143,1),0)</f>
        <v>#N/A</v>
      </c>
      <c r="V8" t="str">
        <f t="shared" ca="1" si="2"/>
        <v/>
      </c>
      <c r="Y8">
        <f t="shared" ref="Y8:Y71" si="5">IF(ISNUMBER(N8),N8,NA())</f>
        <v>0.1</v>
      </c>
      <c r="Z8" t="e">
        <f t="shared" ref="Z8:Z71" ca="1" si="6">IF(ISNUMBER(V8),V8,NA())</f>
        <v>#N/A</v>
      </c>
    </row>
    <row r="9" spans="6:26" x14ac:dyDescent="0.25">
      <c r="F9" s="3">
        <v>2</v>
      </c>
      <c r="G9" s="3">
        <v>120.475884244372</v>
      </c>
      <c r="H9" s="3">
        <v>569.14469453376205</v>
      </c>
      <c r="I9" s="3">
        <v>2.0934697874464701</v>
      </c>
      <c r="J9" s="3">
        <v>0.81949271327355699</v>
      </c>
      <c r="N9">
        <f t="shared" ref="N9:N72" si="7">IF(N8&lt;$I$2,N8+(1/N$2),"")</f>
        <v>0.2</v>
      </c>
      <c r="P9" t="e">
        <f t="shared" ca="1" si="0"/>
        <v>#N/A</v>
      </c>
      <c r="Q9" t="e">
        <f t="shared" ca="1" si="1"/>
        <v>#N/A</v>
      </c>
      <c r="S9" t="e">
        <f t="shared" ca="1" si="3"/>
        <v>#N/A</v>
      </c>
      <c r="T9" t="e">
        <f t="shared" ca="1" si="4"/>
        <v>#N/A</v>
      </c>
      <c r="V9" t="str">
        <f t="shared" ca="1" si="2"/>
        <v/>
      </c>
      <c r="Y9">
        <f t="shared" si="5"/>
        <v>0.2</v>
      </c>
      <c r="Z9" t="e">
        <f t="shared" ca="1" si="6"/>
        <v>#N/A</v>
      </c>
    </row>
    <row r="10" spans="6:26" x14ac:dyDescent="0.25">
      <c r="F10" s="3">
        <v>3</v>
      </c>
      <c r="G10" s="3">
        <v>127.74598070739501</v>
      </c>
      <c r="H10" s="3">
        <v>532.79421221864902</v>
      </c>
      <c r="I10" s="3">
        <v>2.6512547762139702</v>
      </c>
      <c r="J10" s="3">
        <v>2.4888154989343501</v>
      </c>
      <c r="N10">
        <f t="shared" si="7"/>
        <v>0.30000000000000004</v>
      </c>
      <c r="P10" t="e">
        <f t="shared" ca="1" si="0"/>
        <v>#N/A</v>
      </c>
      <c r="Q10" t="e">
        <f ca="1">OFFSET($I$7,MATCH($N10,$I$7:$I$143,1),0)</f>
        <v>#N/A</v>
      </c>
      <c r="S10" t="e">
        <f t="shared" ca="1" si="3"/>
        <v>#N/A</v>
      </c>
      <c r="T10" t="e">
        <f t="shared" ca="1" si="4"/>
        <v>#N/A</v>
      </c>
      <c r="V10" t="str">
        <f t="shared" ca="1" si="2"/>
        <v/>
      </c>
      <c r="Y10">
        <f t="shared" si="5"/>
        <v>0.30000000000000004</v>
      </c>
      <c r="Z10" t="e">
        <f t="shared" ca="1" si="6"/>
        <v>#N/A</v>
      </c>
    </row>
    <row r="11" spans="6:26" x14ac:dyDescent="0.25">
      <c r="F11" s="3">
        <v>4</v>
      </c>
      <c r="G11" s="3">
        <v>128.78456591639801</v>
      </c>
      <c r="H11" s="3">
        <v>514.09967845659105</v>
      </c>
      <c r="I11" s="3">
        <v>2.72844223421209</v>
      </c>
      <c r="J11" s="3">
        <v>3.3463259154010099</v>
      </c>
      <c r="N11">
        <f t="shared" si="7"/>
        <v>0.4</v>
      </c>
      <c r="P11" t="e">
        <f t="shared" ca="1" si="0"/>
        <v>#N/A</v>
      </c>
      <c r="Q11" t="e">
        <f t="shared" ref="Q11:Q74" ca="1" si="8">OFFSET($I$7,MATCH($N11,$I$7:$I$143,1),0)</f>
        <v>#N/A</v>
      </c>
      <c r="S11" t="e">
        <f t="shared" ca="1" si="3"/>
        <v>#N/A</v>
      </c>
      <c r="T11" t="e">
        <f t="shared" ca="1" si="4"/>
        <v>#N/A</v>
      </c>
      <c r="V11" t="str">
        <f t="shared" ca="1" si="2"/>
        <v/>
      </c>
      <c r="Y11">
        <f t="shared" si="5"/>
        <v>0.4</v>
      </c>
      <c r="Z11" t="e">
        <f t="shared" ca="1" si="6"/>
        <v>#N/A</v>
      </c>
    </row>
    <row r="12" spans="6:26" x14ac:dyDescent="0.25">
      <c r="F12" s="3">
        <v>5</v>
      </c>
      <c r="G12" s="3">
        <v>132.93890675241099</v>
      </c>
      <c r="H12" s="3">
        <v>495.40514469453302</v>
      </c>
      <c r="I12" s="3">
        <v>3.0475605307117699</v>
      </c>
      <c r="J12" s="3">
        <v>4.2049883834795798</v>
      </c>
      <c r="N12">
        <f t="shared" si="7"/>
        <v>0.5</v>
      </c>
      <c r="P12" t="e">
        <f t="shared" ca="1" si="0"/>
        <v>#N/A</v>
      </c>
      <c r="Q12" t="e">
        <f t="shared" ca="1" si="8"/>
        <v>#N/A</v>
      </c>
      <c r="S12" t="e">
        <f t="shared" ca="1" si="3"/>
        <v>#N/A</v>
      </c>
      <c r="T12" t="e">
        <f t="shared" ca="1" si="4"/>
        <v>#N/A</v>
      </c>
      <c r="V12" t="str">
        <f t="shared" ca="1" si="2"/>
        <v/>
      </c>
      <c r="Y12">
        <f t="shared" si="5"/>
        <v>0.5</v>
      </c>
      <c r="Z12" t="e">
        <f t="shared" ca="1" si="6"/>
        <v>#N/A</v>
      </c>
    </row>
    <row r="13" spans="6:26" x14ac:dyDescent="0.25">
      <c r="F13" s="3">
        <v>6</v>
      </c>
      <c r="G13" s="3">
        <v>138.13183279742699</v>
      </c>
      <c r="H13" s="3">
        <v>459.05466237942102</v>
      </c>
      <c r="I13" s="3">
        <v>3.44405829381156</v>
      </c>
      <c r="J13" s="3">
        <v>5.8735431347324303</v>
      </c>
      <c r="N13">
        <f t="shared" si="7"/>
        <v>0.6</v>
      </c>
      <c r="P13" t="e">
        <f t="shared" ca="1" si="0"/>
        <v>#N/A</v>
      </c>
      <c r="Q13" t="e">
        <f t="shared" ca="1" si="8"/>
        <v>#N/A</v>
      </c>
      <c r="S13" t="e">
        <f t="shared" ca="1" si="3"/>
        <v>#N/A</v>
      </c>
      <c r="T13" t="e">
        <f t="shared" ca="1" si="4"/>
        <v>#N/A</v>
      </c>
      <c r="V13" t="str">
        <f t="shared" ca="1" si="2"/>
        <v/>
      </c>
      <c r="Y13">
        <f t="shared" si="5"/>
        <v>0.6</v>
      </c>
      <c r="Z13" t="e">
        <f t="shared" ca="1" si="6"/>
        <v>#N/A</v>
      </c>
    </row>
    <row r="14" spans="6:26" x14ac:dyDescent="0.25">
      <c r="F14" s="3">
        <v>7</v>
      </c>
      <c r="G14" s="3">
        <v>139.17041800643</v>
      </c>
      <c r="H14" s="3">
        <v>439.32154340836001</v>
      </c>
      <c r="I14" s="3">
        <v>3.5210537432076898</v>
      </c>
      <c r="J14" s="3">
        <v>6.7786716844914601</v>
      </c>
      <c r="N14">
        <f t="shared" si="7"/>
        <v>0.7</v>
      </c>
      <c r="P14" t="e">
        <f t="shared" ca="1" si="0"/>
        <v>#N/A</v>
      </c>
      <c r="Q14" t="e">
        <f t="shared" ca="1" si="8"/>
        <v>#N/A</v>
      </c>
      <c r="S14" t="e">
        <f t="shared" ca="1" si="3"/>
        <v>#N/A</v>
      </c>
      <c r="T14" t="e">
        <f t="shared" ca="1" si="4"/>
        <v>#N/A</v>
      </c>
      <c r="V14" t="str">
        <f t="shared" ca="1" si="2"/>
        <v/>
      </c>
      <c r="Y14">
        <f t="shared" si="5"/>
        <v>0.7</v>
      </c>
      <c r="Z14" t="e">
        <f t="shared" ca="1" si="6"/>
        <v>#N/A</v>
      </c>
    </row>
    <row r="15" spans="6:26" x14ac:dyDescent="0.25">
      <c r="F15" s="3">
        <v>8</v>
      </c>
      <c r="G15" s="3">
        <v>141.247588424437</v>
      </c>
      <c r="H15" s="3">
        <v>414.39549839228198</v>
      </c>
      <c r="I15" s="3">
        <v>3.67773276242775</v>
      </c>
      <c r="J15" s="3">
        <v>7.9222749179163197</v>
      </c>
      <c r="N15">
        <f t="shared" si="7"/>
        <v>0.79999999999999993</v>
      </c>
      <c r="P15" t="e">
        <f t="shared" ca="1" si="0"/>
        <v>#N/A</v>
      </c>
      <c r="Q15" t="e">
        <f t="shared" ca="1" si="8"/>
        <v>#N/A</v>
      </c>
      <c r="S15" t="e">
        <f t="shared" ca="1" si="3"/>
        <v>#N/A</v>
      </c>
      <c r="T15" t="e">
        <f t="shared" ca="1" si="4"/>
        <v>#N/A</v>
      </c>
      <c r="V15" t="str">
        <f t="shared" ca="1" si="2"/>
        <v/>
      </c>
      <c r="Y15">
        <f t="shared" si="5"/>
        <v>0.79999999999999993</v>
      </c>
      <c r="Z15" t="e">
        <f t="shared" ca="1" si="6"/>
        <v>#N/A</v>
      </c>
    </row>
    <row r="16" spans="6:26" x14ac:dyDescent="0.25">
      <c r="F16" s="3">
        <v>9</v>
      </c>
      <c r="G16" s="3">
        <v>144.36334405144601</v>
      </c>
      <c r="H16" s="3">
        <v>355.19614147909903</v>
      </c>
      <c r="I16" s="3">
        <v>3.9087191106161501</v>
      </c>
      <c r="J16" s="3">
        <v>10.6376605671934</v>
      </c>
      <c r="N16">
        <f t="shared" si="7"/>
        <v>0.89999999999999991</v>
      </c>
      <c r="P16" t="e">
        <f t="shared" ca="1" si="0"/>
        <v>#N/A</v>
      </c>
      <c r="Q16" t="e">
        <f t="shared" ca="1" si="8"/>
        <v>#N/A</v>
      </c>
      <c r="S16" t="e">
        <f t="shared" ca="1" si="3"/>
        <v>#N/A</v>
      </c>
      <c r="T16" t="e">
        <f t="shared" ca="1" si="4"/>
        <v>#N/A</v>
      </c>
      <c r="V16" t="str">
        <f t="shared" ca="1" si="2"/>
        <v/>
      </c>
      <c r="Y16">
        <f t="shared" si="5"/>
        <v>0.89999999999999991</v>
      </c>
      <c r="Z16" t="e">
        <f t="shared" ca="1" si="6"/>
        <v>#N/A</v>
      </c>
    </row>
    <row r="17" spans="6:26" x14ac:dyDescent="0.25">
      <c r="F17" s="3">
        <v>10</v>
      </c>
      <c r="G17" s="3">
        <v>149.55627009646301</v>
      </c>
      <c r="H17" s="3">
        <v>384.27652733118902</v>
      </c>
      <c r="I17" s="3">
        <v>4.31731341564101</v>
      </c>
      <c r="J17" s="3">
        <v>9.30627292102686</v>
      </c>
      <c r="N17">
        <f t="shared" si="7"/>
        <v>0.99999999999999989</v>
      </c>
      <c r="P17" t="e">
        <f t="shared" ca="1" si="0"/>
        <v>#N/A</v>
      </c>
      <c r="Q17" t="e">
        <f t="shared" ca="1" si="8"/>
        <v>#N/A</v>
      </c>
      <c r="S17" t="e">
        <f t="shared" ca="1" si="3"/>
        <v>#N/A</v>
      </c>
      <c r="T17" t="e">
        <f t="shared" ca="1" si="4"/>
        <v>#N/A</v>
      </c>
      <c r="V17" t="str">
        <f t="shared" ca="1" si="2"/>
        <v/>
      </c>
      <c r="Y17">
        <f t="shared" si="5"/>
        <v>0.99999999999999989</v>
      </c>
      <c r="Z17" t="e">
        <f t="shared" ca="1" si="6"/>
        <v>#N/A</v>
      </c>
    </row>
    <row r="18" spans="6:26" x14ac:dyDescent="0.25">
      <c r="F18" s="3">
        <v>11</v>
      </c>
      <c r="G18" s="3">
        <v>151.63344051446899</v>
      </c>
      <c r="H18" s="3">
        <v>317.80707395498303</v>
      </c>
      <c r="I18" s="3">
        <v>4.4663120907816598</v>
      </c>
      <c r="J18" s="3">
        <v>12.3546014861465</v>
      </c>
      <c r="N18">
        <f t="shared" si="7"/>
        <v>1.0999999999999999</v>
      </c>
      <c r="P18" t="e">
        <f t="shared" ca="1" si="0"/>
        <v>#N/A</v>
      </c>
      <c r="Q18" t="e">
        <f t="shared" ca="1" si="8"/>
        <v>#N/A</v>
      </c>
      <c r="S18" t="e">
        <f t="shared" ca="1" si="3"/>
        <v>#N/A</v>
      </c>
      <c r="T18" t="e">
        <f t="shared" ca="1" si="4"/>
        <v>#N/A</v>
      </c>
      <c r="V18" t="str">
        <f t="shared" ca="1" si="2"/>
        <v/>
      </c>
      <c r="Y18">
        <f t="shared" si="5"/>
        <v>1.0999999999999999</v>
      </c>
      <c r="Z18" t="e">
        <f t="shared" ca="1" si="6"/>
        <v>#N/A</v>
      </c>
    </row>
    <row r="19" spans="6:26" x14ac:dyDescent="0.25">
      <c r="F19" s="3">
        <v>12</v>
      </c>
      <c r="G19" s="3">
        <v>153.71061093247499</v>
      </c>
      <c r="H19" s="3">
        <v>360.38906752411498</v>
      </c>
      <c r="I19" s="3">
        <v>4.6354716691307702</v>
      </c>
      <c r="J19" s="3">
        <v>10.403026055567199</v>
      </c>
      <c r="N19">
        <f t="shared" si="7"/>
        <v>1.2</v>
      </c>
      <c r="P19" t="e">
        <f t="shared" ca="1" si="0"/>
        <v>#N/A</v>
      </c>
      <c r="Q19" t="e">
        <f t="shared" ca="1" si="8"/>
        <v>#N/A</v>
      </c>
      <c r="S19" t="e">
        <f t="shared" ca="1" si="3"/>
        <v>#N/A</v>
      </c>
      <c r="T19" t="e">
        <f t="shared" ca="1" si="4"/>
        <v>#N/A</v>
      </c>
      <c r="V19" t="str">
        <f t="shared" ca="1" si="2"/>
        <v/>
      </c>
      <c r="Y19">
        <f t="shared" si="5"/>
        <v>1.2</v>
      </c>
      <c r="Z19" t="e">
        <f t="shared" ca="1" si="6"/>
        <v>#N/A</v>
      </c>
    </row>
    <row r="20" spans="6:26" x14ac:dyDescent="0.25">
      <c r="F20" s="3">
        <v>13</v>
      </c>
      <c r="G20" s="3">
        <v>162.019292604501</v>
      </c>
      <c r="H20" s="3">
        <v>279.37942122186399</v>
      </c>
      <c r="I20" s="3">
        <v>5.2656439008467499</v>
      </c>
      <c r="J20" s="3">
        <v>14.120312590004</v>
      </c>
      <c r="N20">
        <f t="shared" si="7"/>
        <v>1.3</v>
      </c>
      <c r="P20" t="e">
        <f t="shared" ca="1" si="0"/>
        <v>#N/A</v>
      </c>
      <c r="Q20" t="e">
        <f t="shared" ca="1" si="8"/>
        <v>#N/A</v>
      </c>
      <c r="S20" t="e">
        <f t="shared" ca="1" si="3"/>
        <v>#N/A</v>
      </c>
      <c r="T20" t="e">
        <f t="shared" ca="1" si="4"/>
        <v>#N/A</v>
      </c>
      <c r="V20" t="str">
        <f t="shared" ca="1" si="2"/>
        <v/>
      </c>
      <c r="Y20">
        <f t="shared" si="5"/>
        <v>1.3</v>
      </c>
      <c r="Z20" t="e">
        <f t="shared" ca="1" si="6"/>
        <v>#N/A</v>
      </c>
    </row>
    <row r="21" spans="6:26" x14ac:dyDescent="0.25">
      <c r="F21" s="3">
        <v>14</v>
      </c>
      <c r="G21" s="3">
        <v>166.17363344051401</v>
      </c>
      <c r="H21" s="3">
        <v>338.57877813504803</v>
      </c>
      <c r="I21" s="3">
        <v>5.5991628424953399</v>
      </c>
      <c r="J21" s="3">
        <v>11.407615061154701</v>
      </c>
      <c r="N21">
        <f t="shared" si="7"/>
        <v>1.4000000000000001</v>
      </c>
      <c r="P21">
        <f t="shared" ca="1" si="0"/>
        <v>1.3709414181755299</v>
      </c>
      <c r="Q21">
        <f t="shared" ca="1" si="8"/>
        <v>2.0157063036423999</v>
      </c>
      <c r="S21">
        <f t="shared" ca="1" si="3"/>
        <v>6.5282924675003004E-3</v>
      </c>
      <c r="T21">
        <f t="shared" ca="1" si="4"/>
        <v>0.10483669668401401</v>
      </c>
      <c r="V21">
        <f t="shared" ca="1" si="2"/>
        <v>1.0958904109587686E-2</v>
      </c>
      <c r="Y21">
        <f t="shared" si="5"/>
        <v>1.4000000000000001</v>
      </c>
      <c r="Z21">
        <f t="shared" ca="1" si="6"/>
        <v>1.0958904109587686E-2</v>
      </c>
    </row>
    <row r="22" spans="6:26" x14ac:dyDescent="0.25">
      <c r="F22" s="3">
        <v>15</v>
      </c>
      <c r="G22" s="3">
        <v>168.25080385851999</v>
      </c>
      <c r="H22" s="3">
        <v>294.95819935691298</v>
      </c>
      <c r="I22" s="3">
        <v>5.75238570687966</v>
      </c>
      <c r="J22" s="3">
        <v>13.408344693842199</v>
      </c>
      <c r="N22">
        <f t="shared" si="7"/>
        <v>1.5000000000000002</v>
      </c>
      <c r="P22">
        <f t="shared" ca="1" si="0"/>
        <v>1.3709414181755299</v>
      </c>
      <c r="Q22">
        <f t="shared" ca="1" si="8"/>
        <v>2.0157063036423999</v>
      </c>
      <c r="S22">
        <f t="shared" ca="1" si="3"/>
        <v>6.5282924675003004E-3</v>
      </c>
      <c r="T22">
        <f t="shared" ca="1" si="4"/>
        <v>0.10483669668401401</v>
      </c>
      <c r="V22">
        <f t="shared" ca="1" si="2"/>
        <v>2.6206075044668826E-2</v>
      </c>
      <c r="Y22">
        <f t="shared" si="5"/>
        <v>1.5000000000000002</v>
      </c>
      <c r="Z22">
        <f t="shared" ca="1" si="6"/>
        <v>2.6206075044668826E-2</v>
      </c>
    </row>
    <row r="23" spans="6:26" x14ac:dyDescent="0.25">
      <c r="F23" s="3">
        <v>16</v>
      </c>
      <c r="G23" s="3">
        <v>171.36655948552999</v>
      </c>
      <c r="H23" s="3">
        <v>310.53697749196101</v>
      </c>
      <c r="I23" s="3">
        <v>5.9971966744110103</v>
      </c>
      <c r="J23" s="3">
        <v>12.6952247460686</v>
      </c>
      <c r="N23">
        <f t="shared" si="7"/>
        <v>1.6000000000000003</v>
      </c>
      <c r="P23">
        <f t="shared" ca="1" si="0"/>
        <v>1.3709414181755299</v>
      </c>
      <c r="Q23">
        <f t="shared" ca="1" si="8"/>
        <v>2.0157063036423999</v>
      </c>
      <c r="S23">
        <f t="shared" ca="1" si="3"/>
        <v>6.5282924675003004E-3</v>
      </c>
      <c r="T23">
        <f t="shared" ca="1" si="4"/>
        <v>0.10483669668401401</v>
      </c>
      <c r="V23">
        <f t="shared" ca="1" si="2"/>
        <v>4.1453245979749968E-2</v>
      </c>
      <c r="Y23">
        <f t="shared" si="5"/>
        <v>1.6000000000000003</v>
      </c>
      <c r="Z23">
        <f t="shared" ca="1" si="6"/>
        <v>4.1453245979749968E-2</v>
      </c>
    </row>
    <row r="24" spans="6:26" x14ac:dyDescent="0.25">
      <c r="F24" s="3">
        <v>17</v>
      </c>
      <c r="G24" s="3">
        <v>172.40514469453299</v>
      </c>
      <c r="H24" s="3">
        <v>252.376205787781</v>
      </c>
      <c r="I24" s="3">
        <v>6.0670878055336797</v>
      </c>
      <c r="J24" s="3">
        <v>15.362224227645299</v>
      </c>
      <c r="N24">
        <f t="shared" si="7"/>
        <v>1.7000000000000004</v>
      </c>
      <c r="P24">
        <f t="shared" ca="1" si="0"/>
        <v>1.3709414181755299</v>
      </c>
      <c r="Q24">
        <f t="shared" ca="1" si="8"/>
        <v>2.0157063036423999</v>
      </c>
      <c r="S24">
        <f t="shared" ca="1" si="3"/>
        <v>6.5282924675003004E-3</v>
      </c>
      <c r="T24">
        <f t="shared" ca="1" si="4"/>
        <v>0.10483669668401401</v>
      </c>
      <c r="V24">
        <f t="shared" ca="1" si="2"/>
        <v>5.670041691483111E-2</v>
      </c>
      <c r="Y24">
        <f t="shared" si="5"/>
        <v>1.7000000000000004</v>
      </c>
      <c r="Z24">
        <f t="shared" ca="1" si="6"/>
        <v>5.670041691483111E-2</v>
      </c>
    </row>
    <row r="25" spans="6:26" x14ac:dyDescent="0.25">
      <c r="F25" s="3">
        <v>18</v>
      </c>
      <c r="G25" s="3">
        <v>175.520900321543</v>
      </c>
      <c r="H25" s="3">
        <v>285.610932475884</v>
      </c>
      <c r="I25" s="3">
        <v>6.3151629192987802</v>
      </c>
      <c r="J25" s="3">
        <v>13.839596013901399</v>
      </c>
      <c r="N25">
        <f t="shared" si="7"/>
        <v>1.8000000000000005</v>
      </c>
      <c r="P25">
        <f t="shared" ca="1" si="0"/>
        <v>1.3709414181755299</v>
      </c>
      <c r="Q25">
        <f t="shared" ca="1" si="8"/>
        <v>2.0157063036423999</v>
      </c>
      <c r="S25">
        <f t="shared" ca="1" si="3"/>
        <v>6.5282924675003004E-3</v>
      </c>
      <c r="T25">
        <f t="shared" ca="1" si="4"/>
        <v>0.10483669668401401</v>
      </c>
      <c r="V25">
        <f t="shared" ca="1" si="2"/>
        <v>7.1947587849912259E-2</v>
      </c>
      <c r="Y25">
        <f t="shared" si="5"/>
        <v>1.8000000000000005</v>
      </c>
      <c r="Z25">
        <f t="shared" ca="1" si="6"/>
        <v>7.1947587849912259E-2</v>
      </c>
    </row>
    <row r="26" spans="6:26" x14ac:dyDescent="0.25">
      <c r="F26" s="3">
        <v>19</v>
      </c>
      <c r="G26" s="3">
        <v>177.598070739549</v>
      </c>
      <c r="H26" s="3">
        <v>244.06752411575499</v>
      </c>
      <c r="I26" s="3">
        <v>6.4687698008870704</v>
      </c>
      <c r="J26" s="3">
        <v>15.745089380004201</v>
      </c>
      <c r="N26">
        <f t="shared" si="7"/>
        <v>1.9000000000000006</v>
      </c>
      <c r="P26">
        <f t="shared" ca="1" si="0"/>
        <v>1.3709414181755299</v>
      </c>
      <c r="Q26">
        <f t="shared" ca="1" si="8"/>
        <v>2.0157063036423999</v>
      </c>
      <c r="S26">
        <f t="shared" ca="1" si="3"/>
        <v>6.5282924675003004E-3</v>
      </c>
      <c r="T26">
        <f t="shared" ca="1" si="4"/>
        <v>0.10483669668401401</v>
      </c>
      <c r="V26">
        <f t="shared" ca="1" si="2"/>
        <v>8.7194758784993387E-2</v>
      </c>
      <c r="Y26">
        <f t="shared" si="5"/>
        <v>1.9000000000000006</v>
      </c>
      <c r="Z26">
        <f t="shared" ca="1" si="6"/>
        <v>8.7194758784993387E-2</v>
      </c>
    </row>
    <row r="27" spans="6:26" x14ac:dyDescent="0.25">
      <c r="F27" s="3">
        <v>20</v>
      </c>
      <c r="G27" s="3">
        <v>181.75241157556201</v>
      </c>
      <c r="H27" s="3">
        <v>279.37942122186399</v>
      </c>
      <c r="I27" s="3">
        <v>6.7978725446899997</v>
      </c>
      <c r="J27" s="3">
        <v>14.127608916879399</v>
      </c>
      <c r="N27">
        <f t="shared" si="7"/>
        <v>2.0000000000000004</v>
      </c>
      <c r="P27">
        <f t="shared" ca="1" si="0"/>
        <v>1.3709414181755299</v>
      </c>
      <c r="Q27">
        <f t="shared" ca="1" si="8"/>
        <v>2.0157063036423999</v>
      </c>
      <c r="S27">
        <f t="shared" ca="1" si="3"/>
        <v>6.5282924675003004E-3</v>
      </c>
      <c r="T27">
        <f t="shared" ca="1" si="4"/>
        <v>0.10483669668401401</v>
      </c>
      <c r="V27">
        <f t="shared" ca="1" si="2"/>
        <v>0.10244192972007449</v>
      </c>
      <c r="Y27">
        <f t="shared" si="5"/>
        <v>2.0000000000000004</v>
      </c>
      <c r="Z27">
        <f t="shared" ca="1" si="6"/>
        <v>0.10244192972007449</v>
      </c>
    </row>
    <row r="28" spans="6:26" x14ac:dyDescent="0.25">
      <c r="F28" s="3">
        <v>21</v>
      </c>
      <c r="G28" s="3">
        <v>183.82958199356901</v>
      </c>
      <c r="H28" s="3">
        <v>253.41479099678401</v>
      </c>
      <c r="I28" s="3">
        <v>6.9543595553080699</v>
      </c>
      <c r="J28" s="3">
        <v>15.3188302835967</v>
      </c>
      <c r="N28">
        <f t="shared" si="7"/>
        <v>2.1000000000000005</v>
      </c>
      <c r="P28">
        <f t="shared" ca="1" si="0"/>
        <v>2.0934697874464701</v>
      </c>
      <c r="Q28">
        <f t="shared" ca="1" si="8"/>
        <v>2.6512547762139702</v>
      </c>
      <c r="S28">
        <f t="shared" ca="1" si="3"/>
        <v>0.81949271327355699</v>
      </c>
      <c r="T28">
        <f t="shared" ca="1" si="4"/>
        <v>2.4888154989343501</v>
      </c>
      <c r="V28">
        <f t="shared" ca="1" si="2"/>
        <v>0.83903614457833964</v>
      </c>
      <c r="Y28">
        <f t="shared" si="5"/>
        <v>2.1000000000000005</v>
      </c>
      <c r="Z28">
        <f t="shared" ca="1" si="6"/>
        <v>0.83903614457833964</v>
      </c>
    </row>
    <row r="29" spans="6:26" x14ac:dyDescent="0.25">
      <c r="F29" s="3">
        <v>22</v>
      </c>
      <c r="G29" s="3">
        <v>185.90675241157501</v>
      </c>
      <c r="H29" s="3">
        <v>225.37299035369699</v>
      </c>
      <c r="I29" s="3">
        <v>7.1104625487221798</v>
      </c>
      <c r="J29" s="3">
        <v>16.6052879168986</v>
      </c>
      <c r="N29">
        <f t="shared" si="7"/>
        <v>2.2000000000000006</v>
      </c>
      <c r="P29">
        <f t="shared" ca="1" si="0"/>
        <v>2.0934697874464701</v>
      </c>
      <c r="Q29">
        <f t="shared" ca="1" si="8"/>
        <v>2.6512547762139702</v>
      </c>
      <c r="S29">
        <f t="shared" ca="1" si="3"/>
        <v>0.81949271327355699</v>
      </c>
      <c r="T29">
        <f t="shared" ca="1" si="4"/>
        <v>2.4888154989343501</v>
      </c>
      <c r="V29">
        <f t="shared" ca="1" si="2"/>
        <v>1.1383132530120723</v>
      </c>
      <c r="Y29">
        <f t="shared" si="5"/>
        <v>2.2000000000000006</v>
      </c>
      <c r="Z29">
        <f t="shared" ca="1" si="6"/>
        <v>1.1383132530120723</v>
      </c>
    </row>
    <row r="30" spans="6:26" x14ac:dyDescent="0.25">
      <c r="F30" s="3">
        <v>23</v>
      </c>
      <c r="G30" s="3">
        <v>190.06109324758799</v>
      </c>
      <c r="H30" s="3">
        <v>197.33118971061</v>
      </c>
      <c r="I30" s="3">
        <v>7.4278527678039898</v>
      </c>
      <c r="J30" s="3">
        <v>17.892513584608501</v>
      </c>
      <c r="N30">
        <f t="shared" si="7"/>
        <v>2.3000000000000007</v>
      </c>
      <c r="P30">
        <f t="shared" ca="1" si="0"/>
        <v>2.0934697874464701</v>
      </c>
      <c r="Q30">
        <f t="shared" ca="1" si="8"/>
        <v>2.6512547762139702</v>
      </c>
      <c r="S30">
        <f t="shared" ca="1" si="3"/>
        <v>0.81949271327355699</v>
      </c>
      <c r="T30">
        <f t="shared" ca="1" si="4"/>
        <v>2.4888154989343501</v>
      </c>
      <c r="V30">
        <f t="shared" ca="1" si="2"/>
        <v>1.4375903614458048</v>
      </c>
      <c r="Y30">
        <f t="shared" si="5"/>
        <v>2.3000000000000007</v>
      </c>
      <c r="Z30">
        <f t="shared" ca="1" si="6"/>
        <v>1.4375903614458048</v>
      </c>
    </row>
    <row r="31" spans="6:26" x14ac:dyDescent="0.25">
      <c r="F31" s="3">
        <v>24</v>
      </c>
      <c r="G31" s="3">
        <v>193.17684887459799</v>
      </c>
      <c r="H31" s="3">
        <v>263.80064308681602</v>
      </c>
      <c r="I31" s="3">
        <v>7.6820721568326196</v>
      </c>
      <c r="J31" s="3">
        <v>14.8461051055087</v>
      </c>
      <c r="N31">
        <f t="shared" si="7"/>
        <v>2.4000000000000008</v>
      </c>
      <c r="P31">
        <f t="shared" ca="1" si="0"/>
        <v>2.0934697874464701</v>
      </c>
      <c r="Q31">
        <f t="shared" ca="1" si="8"/>
        <v>2.6512547762139702</v>
      </c>
      <c r="S31">
        <f t="shared" ca="1" si="3"/>
        <v>0.81949271327355699</v>
      </c>
      <c r="T31">
        <f t="shared" ca="1" si="4"/>
        <v>2.4888154989343501</v>
      </c>
      <c r="V31">
        <f t="shared" ca="1" si="2"/>
        <v>1.7368674698795372</v>
      </c>
      <c r="Y31">
        <f t="shared" si="5"/>
        <v>2.4000000000000008</v>
      </c>
      <c r="Z31">
        <f t="shared" ca="1" si="6"/>
        <v>1.7368674698795372</v>
      </c>
    </row>
    <row r="32" spans="6:26" x14ac:dyDescent="0.25">
      <c r="F32" s="3">
        <v>25</v>
      </c>
      <c r="G32" s="3">
        <v>197.33118971061</v>
      </c>
      <c r="H32" s="3">
        <v>213.948553054662</v>
      </c>
      <c r="I32" s="3">
        <v>7.9954301952727498</v>
      </c>
      <c r="J32" s="3">
        <v>17.133311572358402</v>
      </c>
      <c r="N32">
        <f t="shared" si="7"/>
        <v>2.5000000000000009</v>
      </c>
      <c r="P32">
        <f t="shared" ca="1" si="0"/>
        <v>2.0934697874464701</v>
      </c>
      <c r="Q32">
        <f t="shared" ca="1" si="8"/>
        <v>2.6512547762139702</v>
      </c>
      <c r="S32">
        <f t="shared" ca="1" si="3"/>
        <v>0.81949271327355699</v>
      </c>
      <c r="T32">
        <f t="shared" ca="1" si="4"/>
        <v>2.4888154989343501</v>
      </c>
      <c r="V32">
        <f t="shared" ca="1" si="2"/>
        <v>2.0361445783132699</v>
      </c>
      <c r="Y32">
        <f t="shared" si="5"/>
        <v>2.5000000000000009</v>
      </c>
      <c r="Z32">
        <f t="shared" ca="1" si="6"/>
        <v>2.0361445783132699</v>
      </c>
    </row>
    <row r="33" spans="6:26" x14ac:dyDescent="0.25">
      <c r="F33" s="3">
        <v>26</v>
      </c>
      <c r="G33" s="3">
        <v>199.40836012861701</v>
      </c>
      <c r="H33" s="3">
        <v>283.53376205787703</v>
      </c>
      <c r="I33" s="3">
        <v>8.16958199727347</v>
      </c>
      <c r="J33" s="3">
        <v>13.9436646761774</v>
      </c>
      <c r="N33">
        <f t="shared" si="7"/>
        <v>2.600000000000001</v>
      </c>
      <c r="P33">
        <f t="shared" ca="1" si="0"/>
        <v>2.0934697874464701</v>
      </c>
      <c r="Q33">
        <f t="shared" ca="1" si="8"/>
        <v>2.6512547762139702</v>
      </c>
      <c r="S33">
        <f t="shared" ca="1" si="3"/>
        <v>0.81949271327355699</v>
      </c>
      <c r="T33">
        <f t="shared" ca="1" si="4"/>
        <v>2.4888154989343501</v>
      </c>
      <c r="V33">
        <f t="shared" ca="1" si="2"/>
        <v>2.3354216867470026</v>
      </c>
      <c r="Y33">
        <f t="shared" si="5"/>
        <v>2.600000000000001</v>
      </c>
      <c r="Z33">
        <f t="shared" ca="1" si="6"/>
        <v>2.3354216867470026</v>
      </c>
    </row>
    <row r="34" spans="6:26" x14ac:dyDescent="0.25">
      <c r="F34" s="3">
        <v>27</v>
      </c>
      <c r="G34" s="3">
        <v>202.52411575562701</v>
      </c>
      <c r="H34" s="3">
        <v>211.871382636655</v>
      </c>
      <c r="I34" s="3">
        <v>8.3982642422380493</v>
      </c>
      <c r="J34" s="3">
        <v>17.230467924963001</v>
      </c>
      <c r="N34">
        <f t="shared" si="7"/>
        <v>2.7000000000000011</v>
      </c>
      <c r="P34">
        <f t="shared" ca="1" si="0"/>
        <v>2.6512547762139702</v>
      </c>
      <c r="Q34">
        <f t="shared" ca="1" si="8"/>
        <v>2.72844223421209</v>
      </c>
      <c r="S34">
        <f t="shared" ca="1" si="3"/>
        <v>2.4888154989343501</v>
      </c>
      <c r="T34">
        <f t="shared" ca="1" si="4"/>
        <v>3.3463259154010099</v>
      </c>
      <c r="V34">
        <f t="shared" ca="1" si="2"/>
        <v>3.0303482587065149</v>
      </c>
      <c r="Y34">
        <f t="shared" si="5"/>
        <v>2.7000000000000011</v>
      </c>
      <c r="Z34">
        <f t="shared" ca="1" si="6"/>
        <v>3.0303482587065149</v>
      </c>
    </row>
    <row r="35" spans="6:26" x14ac:dyDescent="0.25">
      <c r="F35" s="3">
        <v>28</v>
      </c>
      <c r="G35" s="3">
        <v>204.60128617363301</v>
      </c>
      <c r="H35" s="3">
        <v>294.95819935691298</v>
      </c>
      <c r="I35" s="3">
        <v>8.57491215606459</v>
      </c>
      <c r="J35" s="3">
        <v>13.4217852959812</v>
      </c>
      <c r="N35">
        <f t="shared" si="7"/>
        <v>2.8000000000000012</v>
      </c>
      <c r="P35">
        <f t="shared" ca="1" si="0"/>
        <v>2.72844223421209</v>
      </c>
      <c r="Q35">
        <f t="shared" ca="1" si="8"/>
        <v>3.0475605307117699</v>
      </c>
      <c r="S35">
        <f t="shared" ca="1" si="3"/>
        <v>3.3463259154010099</v>
      </c>
      <c r="T35">
        <f t="shared" ca="1" si="4"/>
        <v>4.2049883834795798</v>
      </c>
      <c r="V35">
        <f t="shared" ca="1" si="2"/>
        <v>3.5388688327316609</v>
      </c>
      <c r="Y35">
        <f t="shared" si="5"/>
        <v>2.8000000000000012</v>
      </c>
      <c r="Z35">
        <f t="shared" ca="1" si="6"/>
        <v>3.5388688327316609</v>
      </c>
    </row>
    <row r="36" spans="6:26" x14ac:dyDescent="0.25">
      <c r="F36" s="3">
        <v>29</v>
      </c>
      <c r="G36" s="3">
        <v>207.71704180064299</v>
      </c>
      <c r="H36" s="3">
        <v>289.76527331189698</v>
      </c>
      <c r="I36" s="3">
        <v>8.8158829515562296</v>
      </c>
      <c r="J36" s="3">
        <v>13.661028014055001</v>
      </c>
      <c r="N36">
        <f t="shared" si="7"/>
        <v>2.9000000000000012</v>
      </c>
      <c r="P36">
        <f t="shared" ca="1" si="0"/>
        <v>2.72844223421209</v>
      </c>
      <c r="Q36">
        <f t="shared" ca="1" si="8"/>
        <v>3.0475605307117699</v>
      </c>
      <c r="S36">
        <f t="shared" ca="1" si="3"/>
        <v>3.3463259154010099</v>
      </c>
      <c r="T36">
        <f t="shared" ca="1" si="4"/>
        <v>4.2049883834795798</v>
      </c>
      <c r="V36">
        <f t="shared" ca="1" si="2"/>
        <v>3.8079422382671635</v>
      </c>
      <c r="Y36">
        <f t="shared" si="5"/>
        <v>2.9000000000000012</v>
      </c>
      <c r="Z36">
        <f t="shared" ca="1" si="6"/>
        <v>3.8079422382671635</v>
      </c>
    </row>
    <row r="37" spans="6:26" x14ac:dyDescent="0.25">
      <c r="F37" s="3">
        <v>30</v>
      </c>
      <c r="G37" s="3">
        <v>210.832797427652</v>
      </c>
      <c r="H37" s="3">
        <v>252.376205787781</v>
      </c>
      <c r="I37" s="3">
        <v>9.0509014803863206</v>
      </c>
      <c r="J37" s="3">
        <v>15.376432864192299</v>
      </c>
      <c r="N37">
        <f t="shared" si="7"/>
        <v>3.0000000000000013</v>
      </c>
      <c r="P37">
        <f t="shared" ca="1" si="0"/>
        <v>2.72844223421209</v>
      </c>
      <c r="Q37">
        <f t="shared" ca="1" si="8"/>
        <v>3.0475605307117699</v>
      </c>
      <c r="S37">
        <f t="shared" ca="1" si="3"/>
        <v>3.3463259154010099</v>
      </c>
      <c r="T37">
        <f t="shared" ca="1" si="4"/>
        <v>4.2049883834795798</v>
      </c>
      <c r="V37">
        <f t="shared" ca="1" si="2"/>
        <v>4.0770156438026657</v>
      </c>
      <c r="Y37">
        <f t="shared" si="5"/>
        <v>3.0000000000000013</v>
      </c>
      <c r="Z37">
        <f t="shared" ca="1" si="6"/>
        <v>4.0770156438026657</v>
      </c>
    </row>
    <row r="38" spans="6:26" x14ac:dyDescent="0.25">
      <c r="F38" s="3">
        <v>31</v>
      </c>
      <c r="G38" s="3">
        <v>213.948553054662</v>
      </c>
      <c r="H38" s="3">
        <v>289.76527331189698</v>
      </c>
      <c r="I38" s="3">
        <v>9.2997446285593597</v>
      </c>
      <c r="J38" s="3">
        <v>13.6633321172788</v>
      </c>
      <c r="N38">
        <f t="shared" si="7"/>
        <v>3.1000000000000014</v>
      </c>
      <c r="P38">
        <f t="shared" ca="1" si="0"/>
        <v>3.0475605307117699</v>
      </c>
      <c r="Q38">
        <f t="shared" ca="1" si="8"/>
        <v>3.44405829381156</v>
      </c>
      <c r="S38">
        <f t="shared" ca="1" si="3"/>
        <v>4.2049883834795798</v>
      </c>
      <c r="T38">
        <f t="shared" ca="1" si="4"/>
        <v>5.8735431347324303</v>
      </c>
      <c r="V38">
        <f t="shared" ca="1" si="2"/>
        <v>4.4256658595641936</v>
      </c>
      <c r="Y38">
        <f t="shared" si="5"/>
        <v>3.1000000000000014</v>
      </c>
      <c r="Z38">
        <f t="shared" ca="1" si="6"/>
        <v>4.4256658595641936</v>
      </c>
    </row>
    <row r="39" spans="6:26" x14ac:dyDescent="0.25">
      <c r="F39" s="3">
        <v>32</v>
      </c>
      <c r="G39" s="3">
        <v>217.064308681672</v>
      </c>
      <c r="H39" s="3">
        <v>262.76205787781299</v>
      </c>
      <c r="I39" s="3">
        <v>9.5366832434092998</v>
      </c>
      <c r="J39" s="3">
        <v>14.9025556344924</v>
      </c>
      <c r="N39">
        <f t="shared" si="7"/>
        <v>3.2000000000000015</v>
      </c>
      <c r="P39">
        <f t="shared" ca="1" si="0"/>
        <v>3.0475605307117699</v>
      </c>
      <c r="Q39">
        <f t="shared" ca="1" si="8"/>
        <v>3.44405829381156</v>
      </c>
      <c r="S39">
        <f t="shared" ca="1" si="3"/>
        <v>4.2049883834795798</v>
      </c>
      <c r="T39">
        <f t="shared" ca="1" si="4"/>
        <v>5.8735431347324303</v>
      </c>
      <c r="V39">
        <f t="shared" ca="1" si="2"/>
        <v>4.8464891041162463</v>
      </c>
      <c r="Y39">
        <f t="shared" si="5"/>
        <v>3.2000000000000015</v>
      </c>
      <c r="Z39">
        <f t="shared" ca="1" si="6"/>
        <v>4.8464891041162463</v>
      </c>
    </row>
    <row r="40" spans="6:26" x14ac:dyDescent="0.25">
      <c r="F40" s="3">
        <v>33</v>
      </c>
      <c r="G40" s="3">
        <v>218.10289389067501</v>
      </c>
      <c r="H40" s="3">
        <v>272.10932475884198</v>
      </c>
      <c r="I40" s="3">
        <v>9.6190549336610207</v>
      </c>
      <c r="J40" s="3">
        <v>14.474376452065</v>
      </c>
      <c r="N40">
        <f t="shared" si="7"/>
        <v>3.3000000000000016</v>
      </c>
      <c r="P40">
        <f t="shared" ca="1" si="0"/>
        <v>3.0475605307117699</v>
      </c>
      <c r="Q40">
        <f t="shared" ca="1" si="8"/>
        <v>3.44405829381156</v>
      </c>
      <c r="S40">
        <f t="shared" ca="1" si="3"/>
        <v>4.2049883834795798</v>
      </c>
      <c r="T40">
        <f t="shared" ca="1" si="4"/>
        <v>5.8735431347324303</v>
      </c>
      <c r="V40">
        <f t="shared" ca="1" si="2"/>
        <v>5.2673123486683</v>
      </c>
      <c r="Y40">
        <f t="shared" si="5"/>
        <v>3.3000000000000016</v>
      </c>
      <c r="Z40">
        <f t="shared" ca="1" si="6"/>
        <v>5.2673123486683</v>
      </c>
    </row>
    <row r="41" spans="6:26" x14ac:dyDescent="0.25">
      <c r="F41" s="3">
        <v>34</v>
      </c>
      <c r="G41" s="3">
        <v>221.21864951768401</v>
      </c>
      <c r="H41" s="3">
        <v>264.839228295819</v>
      </c>
      <c r="I41" s="3">
        <v>9.8596417119486901</v>
      </c>
      <c r="J41" s="3">
        <v>14.808855436723499</v>
      </c>
      <c r="N41">
        <f t="shared" si="7"/>
        <v>3.4000000000000017</v>
      </c>
      <c r="P41">
        <f t="shared" ref="P41:P72" ca="1" si="9">OFFSET($I$7,MATCH($N41,$I$7:$I$143,1)-1,0)</f>
        <v>3.0475605307117699</v>
      </c>
      <c r="Q41">
        <f t="shared" ca="1" si="8"/>
        <v>3.44405829381156</v>
      </c>
      <c r="S41">
        <f t="shared" ca="1" si="3"/>
        <v>4.2049883834795798</v>
      </c>
      <c r="T41">
        <f t="shared" ca="1" si="4"/>
        <v>5.8735431347324303</v>
      </c>
      <c r="V41">
        <f t="shared" ca="1" si="2"/>
        <v>5.6881355932203537</v>
      </c>
      <c r="Y41">
        <f t="shared" si="5"/>
        <v>3.4000000000000017</v>
      </c>
      <c r="Z41">
        <f t="shared" ca="1" si="6"/>
        <v>5.6881355932203537</v>
      </c>
    </row>
    <row r="42" spans="6:26" x14ac:dyDescent="0.25">
      <c r="F42" s="3">
        <v>35</v>
      </c>
      <c r="G42" s="3">
        <v>222.25723472668801</v>
      </c>
      <c r="H42" s="3">
        <v>321.961414790996</v>
      </c>
      <c r="I42" s="3">
        <v>9.9508457978917395</v>
      </c>
      <c r="J42" s="3">
        <v>12.190242122847099</v>
      </c>
      <c r="N42">
        <f t="shared" si="7"/>
        <v>3.5000000000000018</v>
      </c>
      <c r="P42">
        <f t="shared" ca="1" si="9"/>
        <v>3.44405829381156</v>
      </c>
      <c r="Q42">
        <f t="shared" ca="1" si="8"/>
        <v>3.5210537432076898</v>
      </c>
      <c r="S42">
        <f t="shared" ca="1" si="3"/>
        <v>5.8735431347324303</v>
      </c>
      <c r="T42">
        <f t="shared" ca="1" si="4"/>
        <v>6.7786716844914601</v>
      </c>
      <c r="V42">
        <f t="shared" ca="1" si="2"/>
        <v>6.5311720698255105</v>
      </c>
      <c r="Y42">
        <f t="shared" si="5"/>
        <v>3.5000000000000018</v>
      </c>
      <c r="Z42">
        <f t="shared" ca="1" si="6"/>
        <v>6.5311720698255105</v>
      </c>
    </row>
    <row r="43" spans="6:26" x14ac:dyDescent="0.25">
      <c r="F43" s="3">
        <v>36</v>
      </c>
      <c r="G43" s="3">
        <v>227.45016077170399</v>
      </c>
      <c r="H43" s="3">
        <v>288.72668810289298</v>
      </c>
      <c r="I43" s="3">
        <v>10.347919586797399</v>
      </c>
      <c r="J43" s="3">
        <v>13.7159424742228</v>
      </c>
      <c r="N43">
        <f t="shared" si="7"/>
        <v>3.6000000000000019</v>
      </c>
      <c r="P43">
        <f t="shared" ca="1" si="9"/>
        <v>3.5210537432076898</v>
      </c>
      <c r="Q43">
        <f t="shared" ca="1" si="8"/>
        <v>3.67773276242775</v>
      </c>
      <c r="S43">
        <f t="shared" ca="1" si="3"/>
        <v>6.7786716844914601</v>
      </c>
      <c r="T43">
        <f t="shared" ca="1" si="4"/>
        <v>7.9222749179163197</v>
      </c>
      <c r="V43">
        <f t="shared" ca="1" si="2"/>
        <v>7.3549019607843693</v>
      </c>
      <c r="Y43">
        <f t="shared" si="5"/>
        <v>3.6000000000000019</v>
      </c>
      <c r="Z43">
        <f t="shared" ca="1" si="6"/>
        <v>7.3549019607843693</v>
      </c>
    </row>
    <row r="44" spans="6:26" x14ac:dyDescent="0.25">
      <c r="F44" s="3">
        <v>37</v>
      </c>
      <c r="G44" s="3">
        <v>229.52733118971</v>
      </c>
      <c r="H44" s="3">
        <v>236.79742765273301</v>
      </c>
      <c r="I44" s="3">
        <v>10.499606382365901</v>
      </c>
      <c r="J44" s="3">
        <v>16.097617173249301</v>
      </c>
      <c r="N44">
        <f t="shared" si="7"/>
        <v>3.700000000000002</v>
      </c>
      <c r="P44">
        <f t="shared" ca="1" si="9"/>
        <v>3.67773276242775</v>
      </c>
      <c r="Q44">
        <f t="shared" ca="1" si="8"/>
        <v>3.9087191106161501</v>
      </c>
      <c r="S44">
        <f t="shared" ca="1" si="3"/>
        <v>7.9222749179163197</v>
      </c>
      <c r="T44">
        <f t="shared" ca="1" si="4"/>
        <v>10.6376605671934</v>
      </c>
      <c r="V44">
        <f t="shared" ca="1" si="2"/>
        <v>8.1840399002494735</v>
      </c>
      <c r="Y44">
        <f t="shared" si="5"/>
        <v>3.700000000000002</v>
      </c>
      <c r="Z44">
        <f t="shared" ca="1" si="6"/>
        <v>8.1840399002494735</v>
      </c>
    </row>
    <row r="45" spans="6:26" x14ac:dyDescent="0.25">
      <c r="F45" s="3">
        <v>38</v>
      </c>
      <c r="G45" s="3">
        <v>233.681672025723</v>
      </c>
      <c r="H45" s="3">
        <v>240.95176848874499</v>
      </c>
      <c r="I45" s="3">
        <v>10.822948868109201</v>
      </c>
      <c r="J45" s="3">
        <v>15.9086807088957</v>
      </c>
      <c r="N45">
        <f t="shared" si="7"/>
        <v>3.800000000000002</v>
      </c>
      <c r="P45">
        <f t="shared" ca="1" si="9"/>
        <v>3.67773276242775</v>
      </c>
      <c r="Q45">
        <f t="shared" ca="1" si="8"/>
        <v>3.9087191106161501</v>
      </c>
      <c r="S45">
        <f t="shared" ca="1" si="3"/>
        <v>7.9222749179163197</v>
      </c>
      <c r="T45">
        <f t="shared" ca="1" si="4"/>
        <v>10.6376605671934</v>
      </c>
      <c r="V45">
        <f t="shared" ca="1" si="2"/>
        <v>9.3596009975063232</v>
      </c>
      <c r="Y45">
        <f t="shared" si="5"/>
        <v>3.800000000000002</v>
      </c>
      <c r="Z45">
        <f t="shared" ca="1" si="6"/>
        <v>9.3596009975063232</v>
      </c>
    </row>
    <row r="46" spans="6:26" x14ac:dyDescent="0.25">
      <c r="F46" s="3">
        <v>39</v>
      </c>
      <c r="G46" s="3">
        <v>236.79742765273301</v>
      </c>
      <c r="H46" s="3">
        <v>321.961414790996</v>
      </c>
      <c r="I46" s="3">
        <v>11.079856377565701</v>
      </c>
      <c r="J46" s="3">
        <v>12.1956183637026</v>
      </c>
      <c r="N46">
        <f t="shared" si="7"/>
        <v>3.9000000000000021</v>
      </c>
      <c r="P46">
        <f t="shared" ca="1" si="9"/>
        <v>3.67773276242775</v>
      </c>
      <c r="Q46">
        <f t="shared" ca="1" si="8"/>
        <v>3.9087191106161501</v>
      </c>
      <c r="S46">
        <f t="shared" ca="1" si="3"/>
        <v>7.9222749179163197</v>
      </c>
      <c r="T46">
        <f t="shared" ca="1" si="4"/>
        <v>10.6376605671934</v>
      </c>
      <c r="V46">
        <f t="shared" ca="1" si="2"/>
        <v>10.535162094763173</v>
      </c>
      <c r="Y46">
        <f t="shared" si="5"/>
        <v>3.9000000000000021</v>
      </c>
      <c r="Z46">
        <f t="shared" ca="1" si="6"/>
        <v>10.535162094763173</v>
      </c>
    </row>
    <row r="47" spans="6:26" x14ac:dyDescent="0.25">
      <c r="F47" s="3">
        <v>40</v>
      </c>
      <c r="G47" s="3">
        <v>241.99035369774899</v>
      </c>
      <c r="H47" s="3">
        <v>321.961414790996</v>
      </c>
      <c r="I47" s="3">
        <v>11.4830744417349</v>
      </c>
      <c r="J47" s="3">
        <v>12.197538449722501</v>
      </c>
      <c r="N47">
        <f t="shared" si="7"/>
        <v>4.0000000000000018</v>
      </c>
      <c r="P47">
        <f t="shared" ca="1" si="9"/>
        <v>3.9087191106161501</v>
      </c>
      <c r="Q47">
        <f t="shared" ca="1" si="8"/>
        <v>4.31731341564101</v>
      </c>
      <c r="S47">
        <f t="shared" ca="1" si="3"/>
        <v>10.6376605671934</v>
      </c>
      <c r="T47">
        <f t="shared" ca="1" si="4"/>
        <v>9.30627292102686</v>
      </c>
      <c r="V47">
        <f t="shared" ca="1" si="2"/>
        <v>10.340225563909739</v>
      </c>
      <c r="Y47">
        <f t="shared" si="5"/>
        <v>4.0000000000000018</v>
      </c>
      <c r="Z47">
        <f t="shared" ca="1" si="6"/>
        <v>10.340225563909739</v>
      </c>
    </row>
    <row r="48" spans="6:26" x14ac:dyDescent="0.25">
      <c r="F48" s="3">
        <v>41</v>
      </c>
      <c r="G48" s="3">
        <v>247.183279742765</v>
      </c>
      <c r="H48" s="3">
        <v>288.72668810289298</v>
      </c>
      <c r="I48" s="3">
        <v>11.8801482306407</v>
      </c>
      <c r="J48" s="3">
        <v>13.7232388010982</v>
      </c>
      <c r="N48">
        <f t="shared" si="7"/>
        <v>4.1000000000000014</v>
      </c>
      <c r="P48">
        <f t="shared" ca="1" si="9"/>
        <v>3.9087191106161501</v>
      </c>
      <c r="Q48">
        <f t="shared" ca="1" si="8"/>
        <v>4.31731341564101</v>
      </c>
      <c r="S48">
        <f t="shared" ca="1" si="3"/>
        <v>10.6376605671934</v>
      </c>
      <c r="T48">
        <f t="shared" ca="1" si="4"/>
        <v>9.30627292102686</v>
      </c>
      <c r="V48">
        <f t="shared" ca="1" si="2"/>
        <v>10.014379699248083</v>
      </c>
      <c r="Y48">
        <f t="shared" si="5"/>
        <v>4.1000000000000014</v>
      </c>
      <c r="Z48">
        <f t="shared" ca="1" si="6"/>
        <v>10.014379699248083</v>
      </c>
    </row>
    <row r="49" spans="6:26" x14ac:dyDescent="0.25">
      <c r="F49" s="3">
        <v>42</v>
      </c>
      <c r="G49" s="3">
        <v>251.337620578778</v>
      </c>
      <c r="H49" s="3">
        <v>321.961414790996</v>
      </c>
      <c r="I49" s="3">
        <v>12.2088669572396</v>
      </c>
      <c r="J49" s="3">
        <v>12.200994604558201</v>
      </c>
      <c r="N49">
        <f t="shared" si="7"/>
        <v>4.2000000000000011</v>
      </c>
      <c r="P49">
        <f t="shared" ca="1" si="9"/>
        <v>3.9087191106161501</v>
      </c>
      <c r="Q49">
        <f t="shared" ca="1" si="8"/>
        <v>4.31731341564101</v>
      </c>
      <c r="S49">
        <f t="shared" ca="1" si="3"/>
        <v>10.6376605671934</v>
      </c>
      <c r="T49">
        <f t="shared" ca="1" si="4"/>
        <v>9.30627292102686</v>
      </c>
      <c r="V49">
        <f t="shared" ca="1" si="2"/>
        <v>9.688533834586428</v>
      </c>
      <c r="Y49">
        <f t="shared" si="5"/>
        <v>4.2000000000000011</v>
      </c>
      <c r="Z49">
        <f t="shared" ca="1" si="6"/>
        <v>9.688533834586428</v>
      </c>
    </row>
    <row r="50" spans="6:26" x14ac:dyDescent="0.25">
      <c r="F50" s="3">
        <v>43</v>
      </c>
      <c r="G50" s="3">
        <v>255.49196141479101</v>
      </c>
      <c r="H50" s="3">
        <v>370.774919614147</v>
      </c>
      <c r="I50" s="3">
        <v>12.540465812868399</v>
      </c>
      <c r="J50" s="3">
        <v>9.9644784086327007</v>
      </c>
      <c r="N50">
        <f t="shared" si="7"/>
        <v>4.3000000000000007</v>
      </c>
      <c r="P50">
        <f t="shared" ca="1" si="9"/>
        <v>3.9087191106161501</v>
      </c>
      <c r="Q50">
        <f t="shared" ca="1" si="8"/>
        <v>4.31731341564101</v>
      </c>
      <c r="S50">
        <f t="shared" ca="1" si="3"/>
        <v>10.6376605671934</v>
      </c>
      <c r="T50">
        <f t="shared" ca="1" si="4"/>
        <v>9.30627292102686</v>
      </c>
      <c r="V50">
        <f t="shared" ca="1" si="2"/>
        <v>9.3626879699247727</v>
      </c>
      <c r="Y50">
        <f t="shared" si="5"/>
        <v>4.3000000000000007</v>
      </c>
      <c r="Z50">
        <f t="shared" ca="1" si="6"/>
        <v>9.3626879699247727</v>
      </c>
    </row>
    <row r="51" spans="6:26" x14ac:dyDescent="0.25">
      <c r="F51" s="3">
        <v>44</v>
      </c>
      <c r="G51" s="3">
        <v>260.68488745980699</v>
      </c>
      <c r="H51" s="3">
        <v>328.19292604501601</v>
      </c>
      <c r="I51" s="3">
        <v>12.9358115243562</v>
      </c>
      <c r="J51" s="3">
        <v>11.9187419596397</v>
      </c>
      <c r="N51">
        <f t="shared" si="7"/>
        <v>4.4000000000000004</v>
      </c>
      <c r="P51">
        <f t="shared" ca="1" si="9"/>
        <v>4.31731341564101</v>
      </c>
      <c r="Q51">
        <f t="shared" ca="1" si="8"/>
        <v>4.4663120907816598</v>
      </c>
      <c r="S51">
        <f t="shared" ca="1" si="3"/>
        <v>9.30627292102686</v>
      </c>
      <c r="T51">
        <f t="shared" ca="1" si="4"/>
        <v>12.3546014861465</v>
      </c>
      <c r="V51">
        <f t="shared" ca="1" si="2"/>
        <v>10.997938144330039</v>
      </c>
      <c r="Y51">
        <f t="shared" si="5"/>
        <v>4.4000000000000004</v>
      </c>
      <c r="Z51">
        <f t="shared" ca="1" si="6"/>
        <v>10.997938144330039</v>
      </c>
    </row>
    <row r="52" spans="6:26" x14ac:dyDescent="0.25">
      <c r="F52" s="3">
        <v>45</v>
      </c>
      <c r="G52" s="3">
        <v>265.877813504823</v>
      </c>
      <c r="H52" s="3">
        <v>365.58199356913099</v>
      </c>
      <c r="I52" s="3">
        <v>13.345941898196999</v>
      </c>
      <c r="J52" s="3">
        <v>10.2064092471342</v>
      </c>
      <c r="N52">
        <f t="shared" si="7"/>
        <v>4.5</v>
      </c>
      <c r="P52">
        <f t="shared" ca="1" si="9"/>
        <v>4.4663120907816598</v>
      </c>
      <c r="Q52">
        <f t="shared" ca="1" si="8"/>
        <v>4.6354716691307702</v>
      </c>
      <c r="S52">
        <f t="shared" ca="1" si="3"/>
        <v>12.3546014861465</v>
      </c>
      <c r="T52">
        <f t="shared" ca="1" si="4"/>
        <v>10.403026055567199</v>
      </c>
      <c r="V52">
        <f t="shared" ca="1" si="2"/>
        <v>11.965947786605966</v>
      </c>
      <c r="Y52">
        <f t="shared" si="5"/>
        <v>4.5</v>
      </c>
      <c r="Z52">
        <f t="shared" ca="1" si="6"/>
        <v>11.965947786605966</v>
      </c>
    </row>
    <row r="53" spans="6:26" x14ac:dyDescent="0.25">
      <c r="F53" s="3">
        <v>46</v>
      </c>
      <c r="G53" s="3">
        <v>270.03215434083597</v>
      </c>
      <c r="H53" s="3">
        <v>330.27009646302201</v>
      </c>
      <c r="I53" s="3">
        <v>13.661988057064899</v>
      </c>
      <c r="J53" s="3">
        <v>11.826961847890701</v>
      </c>
      <c r="N53">
        <f t="shared" si="7"/>
        <v>4.5999999999999996</v>
      </c>
      <c r="P53">
        <f t="shared" ca="1" si="9"/>
        <v>4.4663120907816598</v>
      </c>
      <c r="Q53">
        <f t="shared" ca="1" si="8"/>
        <v>4.6354716691307702</v>
      </c>
      <c r="S53">
        <f t="shared" ca="1" si="3"/>
        <v>12.3546014861465</v>
      </c>
      <c r="T53">
        <f t="shared" ca="1" si="4"/>
        <v>10.403026055567199</v>
      </c>
      <c r="V53">
        <f t="shared" ca="1" si="2"/>
        <v>10.812258796821631</v>
      </c>
      <c r="Y53">
        <f t="shared" si="5"/>
        <v>4.5999999999999996</v>
      </c>
      <c r="Z53">
        <f t="shared" ca="1" si="6"/>
        <v>10.812258796821631</v>
      </c>
    </row>
    <row r="54" spans="6:26" x14ac:dyDescent="0.25">
      <c r="F54" s="3">
        <v>47</v>
      </c>
      <c r="G54" s="3">
        <v>273.14790996784501</v>
      </c>
      <c r="H54" s="3">
        <v>338.57877813504803</v>
      </c>
      <c r="I54" s="3">
        <v>13.9054549643824</v>
      </c>
      <c r="J54" s="3">
        <v>11.447168833163699</v>
      </c>
      <c r="N54">
        <f t="shared" si="7"/>
        <v>4.6999999999999993</v>
      </c>
      <c r="P54">
        <f t="shared" ca="1" si="9"/>
        <v>4.6354716691307702</v>
      </c>
      <c r="Q54">
        <f t="shared" ca="1" si="8"/>
        <v>5.2656439008467499</v>
      </c>
      <c r="S54">
        <f t="shared" ca="1" si="3"/>
        <v>10.403026055567199</v>
      </c>
      <c r="T54">
        <f t="shared" ca="1" si="4"/>
        <v>14.120312590004</v>
      </c>
      <c r="V54">
        <f t="shared" ca="1" si="2"/>
        <v>10.783668494820184</v>
      </c>
      <c r="Y54">
        <f t="shared" si="5"/>
        <v>4.6999999999999993</v>
      </c>
      <c r="Z54">
        <f t="shared" ca="1" si="6"/>
        <v>10.783668494820184</v>
      </c>
    </row>
    <row r="55" spans="6:26" x14ac:dyDescent="0.25">
      <c r="F55" s="3">
        <v>48</v>
      </c>
      <c r="G55" s="3">
        <v>276.26366559485501</v>
      </c>
      <c r="H55" s="3">
        <v>362.46623794212201</v>
      </c>
      <c r="I55" s="3">
        <v>14.151802000729599</v>
      </c>
      <c r="J55" s="3">
        <v>10.353103819051</v>
      </c>
      <c r="N55">
        <f t="shared" si="7"/>
        <v>4.7999999999999989</v>
      </c>
      <c r="P55">
        <f t="shared" ca="1" si="9"/>
        <v>4.6354716691307702</v>
      </c>
      <c r="Q55">
        <f t="shared" ca="1" si="8"/>
        <v>5.2656439008467499</v>
      </c>
      <c r="S55">
        <f t="shared" ca="1" si="3"/>
        <v>10.403026055567199</v>
      </c>
      <c r="T55">
        <f t="shared" ca="1" si="4"/>
        <v>14.120312590004</v>
      </c>
      <c r="V55">
        <f t="shared" ca="1" si="2"/>
        <v>11.373552711761082</v>
      </c>
      <c r="Y55">
        <f t="shared" si="5"/>
        <v>4.7999999999999989</v>
      </c>
      <c r="Z55">
        <f t="shared" ca="1" si="6"/>
        <v>11.373552711761082</v>
      </c>
    </row>
    <row r="56" spans="6:26" x14ac:dyDescent="0.25">
      <c r="F56" s="3">
        <v>49</v>
      </c>
      <c r="G56" s="3">
        <v>279.37942122186399</v>
      </c>
      <c r="H56" s="3">
        <v>327.15434083601201</v>
      </c>
      <c r="I56" s="3">
        <v>14.3872045467636</v>
      </c>
      <c r="J56" s="3">
        <v>11.9732724026036</v>
      </c>
      <c r="N56">
        <f t="shared" si="7"/>
        <v>4.8999999999999986</v>
      </c>
      <c r="P56">
        <f t="shared" ca="1" si="9"/>
        <v>4.6354716691307702</v>
      </c>
      <c r="Q56">
        <f t="shared" ca="1" si="8"/>
        <v>5.2656439008467499</v>
      </c>
      <c r="S56">
        <f t="shared" ca="1" si="3"/>
        <v>10.403026055567199</v>
      </c>
      <c r="T56">
        <f t="shared" ca="1" si="4"/>
        <v>14.120312590004</v>
      </c>
      <c r="V56">
        <f t="shared" ca="1" si="2"/>
        <v>11.963436928701979</v>
      </c>
      <c r="Y56">
        <f t="shared" si="5"/>
        <v>4.8999999999999986</v>
      </c>
      <c r="Z56">
        <f t="shared" ca="1" si="6"/>
        <v>11.963436928701979</v>
      </c>
    </row>
    <row r="57" spans="6:26" x14ac:dyDescent="0.25">
      <c r="F57" s="3">
        <v>50</v>
      </c>
      <c r="G57" s="3">
        <v>284.57234726688102</v>
      </c>
      <c r="H57" s="3">
        <v>389.46945337620502</v>
      </c>
      <c r="I57" s="3">
        <v>14.801943127052001</v>
      </c>
      <c r="J57" s="3">
        <v>9.1181044910811995</v>
      </c>
      <c r="N57">
        <f t="shared" si="7"/>
        <v>4.9999999999999982</v>
      </c>
      <c r="P57">
        <f t="shared" ca="1" si="9"/>
        <v>4.6354716691307702</v>
      </c>
      <c r="Q57">
        <f t="shared" ca="1" si="8"/>
        <v>5.2656439008467499</v>
      </c>
      <c r="S57">
        <f t="shared" ca="1" si="3"/>
        <v>10.403026055567199</v>
      </c>
      <c r="T57">
        <f t="shared" ca="1" si="4"/>
        <v>14.120312590004</v>
      </c>
      <c r="V57">
        <f t="shared" ca="1" si="2"/>
        <v>12.553321145642878</v>
      </c>
      <c r="Y57">
        <f t="shared" si="5"/>
        <v>4.9999999999999982</v>
      </c>
      <c r="Z57">
        <f t="shared" ca="1" si="6"/>
        <v>12.553321145642878</v>
      </c>
    </row>
    <row r="58" spans="6:26" x14ac:dyDescent="0.25">
      <c r="F58" s="3">
        <v>51</v>
      </c>
      <c r="G58" s="3">
        <v>292.88102893890601</v>
      </c>
      <c r="H58" s="3">
        <v>345.84887459806998</v>
      </c>
      <c r="I58" s="3">
        <v>15.4390276684395</v>
      </c>
      <c r="J58" s="3">
        <v>11.1211382269925</v>
      </c>
      <c r="N58">
        <f t="shared" si="7"/>
        <v>5.0999999999999979</v>
      </c>
      <c r="P58">
        <f t="shared" ca="1" si="9"/>
        <v>4.6354716691307702</v>
      </c>
      <c r="Q58">
        <f t="shared" ca="1" si="8"/>
        <v>5.2656439008467499</v>
      </c>
      <c r="S58">
        <f t="shared" ca="1" si="3"/>
        <v>10.403026055567199</v>
      </c>
      <c r="T58">
        <f t="shared" ca="1" si="4"/>
        <v>14.120312590004</v>
      </c>
      <c r="V58">
        <f t="shared" ca="1" si="2"/>
        <v>13.143205362583775</v>
      </c>
      <c r="Y58">
        <f t="shared" si="5"/>
        <v>5.0999999999999979</v>
      </c>
      <c r="Z58">
        <f t="shared" ca="1" si="6"/>
        <v>13.143205362583775</v>
      </c>
    </row>
    <row r="59" spans="6:26" x14ac:dyDescent="0.25">
      <c r="F59" s="3">
        <v>52</v>
      </c>
      <c r="G59" s="3">
        <v>292.88102893890601</v>
      </c>
      <c r="H59" s="3">
        <v>384.27652733118902</v>
      </c>
      <c r="I59" s="3">
        <v>15.446131986713</v>
      </c>
      <c r="J59" s="3">
        <v>9.3592672951748206</v>
      </c>
      <c r="N59">
        <f t="shared" si="7"/>
        <v>5.1999999999999975</v>
      </c>
      <c r="P59">
        <f t="shared" ca="1" si="9"/>
        <v>4.6354716691307702</v>
      </c>
      <c r="Q59">
        <f t="shared" ca="1" si="8"/>
        <v>5.2656439008467499</v>
      </c>
      <c r="S59">
        <f t="shared" ca="1" si="3"/>
        <v>10.403026055567199</v>
      </c>
      <c r="T59">
        <f t="shared" ca="1" si="4"/>
        <v>14.120312590004</v>
      </c>
      <c r="V59">
        <f t="shared" ca="1" si="2"/>
        <v>13.733089579524673</v>
      </c>
      <c r="Y59">
        <f t="shared" si="5"/>
        <v>5.1999999999999975</v>
      </c>
      <c r="Z59">
        <f t="shared" ca="1" si="6"/>
        <v>13.733089579524673</v>
      </c>
    </row>
    <row r="60" spans="6:26" x14ac:dyDescent="0.25">
      <c r="F60" s="3">
        <v>53</v>
      </c>
      <c r="G60" s="3">
        <v>297.03536977491899</v>
      </c>
      <c r="H60" s="3">
        <v>375.967845659163</v>
      </c>
      <c r="I60" s="3">
        <v>15.767170369232501</v>
      </c>
      <c r="J60" s="3">
        <v>9.74174843032967</v>
      </c>
      <c r="N60">
        <f t="shared" si="7"/>
        <v>5.2999999999999972</v>
      </c>
      <c r="P60">
        <f t="shared" ca="1" si="9"/>
        <v>5.2656439008467499</v>
      </c>
      <c r="Q60">
        <f t="shared" ca="1" si="8"/>
        <v>5.5991628424953399</v>
      </c>
      <c r="S60">
        <f t="shared" ca="1" si="3"/>
        <v>14.120312590004</v>
      </c>
      <c r="T60">
        <f t="shared" ca="1" si="4"/>
        <v>11.407615061154701</v>
      </c>
      <c r="V60">
        <f t="shared" ca="1" si="2"/>
        <v>13.840875071963083</v>
      </c>
      <c r="Y60">
        <f t="shared" si="5"/>
        <v>5.2999999999999972</v>
      </c>
      <c r="Z60">
        <f t="shared" ca="1" si="6"/>
        <v>13.840875071963083</v>
      </c>
    </row>
    <row r="61" spans="6:26" x14ac:dyDescent="0.25">
      <c r="F61" s="3">
        <v>54</v>
      </c>
      <c r="G61" s="3">
        <v>297.03536977491899</v>
      </c>
      <c r="H61" s="3">
        <v>402.97106109324699</v>
      </c>
      <c r="I61" s="3">
        <v>15.772162592884101</v>
      </c>
      <c r="J61" s="3">
        <v>8.5036769647280206</v>
      </c>
      <c r="N61">
        <f t="shared" si="7"/>
        <v>5.3999999999999968</v>
      </c>
      <c r="P61">
        <f t="shared" ca="1" si="9"/>
        <v>5.2656439008467499</v>
      </c>
      <c r="Q61">
        <f t="shared" ca="1" si="8"/>
        <v>5.5991628424953399</v>
      </c>
      <c r="S61">
        <f t="shared" ca="1" si="3"/>
        <v>14.120312590004</v>
      </c>
      <c r="T61">
        <f t="shared" ca="1" si="4"/>
        <v>11.407615061154701</v>
      </c>
      <c r="V61">
        <f t="shared" ca="1" si="2"/>
        <v>13.027518710420203</v>
      </c>
      <c r="Y61">
        <f t="shared" si="5"/>
        <v>5.3999999999999968</v>
      </c>
      <c r="Z61">
        <f t="shared" ca="1" si="6"/>
        <v>13.027518710420203</v>
      </c>
    </row>
    <row r="62" spans="6:26" x14ac:dyDescent="0.25">
      <c r="F62" s="3">
        <v>55</v>
      </c>
      <c r="G62" s="3">
        <v>303.26688102893797</v>
      </c>
      <c r="H62" s="3">
        <v>363.50482315112498</v>
      </c>
      <c r="I62" s="3">
        <v>16.248727943011801</v>
      </c>
      <c r="J62" s="3">
        <v>10.315470133061901</v>
      </c>
      <c r="N62">
        <f t="shared" si="7"/>
        <v>5.4999999999999964</v>
      </c>
      <c r="P62">
        <f t="shared" ca="1" si="9"/>
        <v>5.2656439008467499</v>
      </c>
      <c r="Q62">
        <f t="shared" ca="1" si="8"/>
        <v>5.5991628424953399</v>
      </c>
      <c r="S62">
        <f t="shared" ca="1" si="3"/>
        <v>14.120312590004</v>
      </c>
      <c r="T62">
        <f t="shared" ca="1" si="4"/>
        <v>11.407615061154701</v>
      </c>
      <c r="V62">
        <f t="shared" ca="1" si="2"/>
        <v>12.214162348877325</v>
      </c>
      <c r="Y62">
        <f t="shared" si="5"/>
        <v>5.4999999999999964</v>
      </c>
      <c r="Z62">
        <f t="shared" ca="1" si="6"/>
        <v>12.214162348877325</v>
      </c>
    </row>
    <row r="63" spans="6:26" x14ac:dyDescent="0.25">
      <c r="F63" s="3">
        <v>56</v>
      </c>
      <c r="G63" s="3">
        <v>303.26688102893797</v>
      </c>
      <c r="H63" s="3">
        <v>446.59163987138197</v>
      </c>
      <c r="I63" s="3">
        <v>16.264088631170601</v>
      </c>
      <c r="J63" s="3">
        <v>6.50601946967224</v>
      </c>
      <c r="N63">
        <f t="shared" si="7"/>
        <v>5.5999999999999961</v>
      </c>
      <c r="P63">
        <f t="shared" ca="1" si="9"/>
        <v>5.5991628424953399</v>
      </c>
      <c r="Q63">
        <f t="shared" ca="1" si="8"/>
        <v>5.75238570687966</v>
      </c>
      <c r="S63">
        <f t="shared" ca="1" si="3"/>
        <v>11.407615061154701</v>
      </c>
      <c r="T63">
        <f t="shared" ca="1" si="4"/>
        <v>13.408344693842199</v>
      </c>
      <c r="V63">
        <f t="shared" ca="1" si="2"/>
        <v>11.418546365914748</v>
      </c>
      <c r="Y63">
        <f t="shared" si="5"/>
        <v>5.5999999999999961</v>
      </c>
      <c r="Z63">
        <f t="shared" ca="1" si="6"/>
        <v>11.418546365914748</v>
      </c>
    </row>
    <row r="64" spans="6:26" x14ac:dyDescent="0.25">
      <c r="F64" s="3">
        <v>57</v>
      </c>
      <c r="G64" s="3">
        <v>310.53697749196101</v>
      </c>
      <c r="H64" s="3">
        <v>387.39228295819902</v>
      </c>
      <c r="I64" s="3">
        <v>16.817649430694399</v>
      </c>
      <c r="J64" s="3">
        <v>9.2229411877652101</v>
      </c>
      <c r="N64">
        <f t="shared" si="7"/>
        <v>5.6999999999999957</v>
      </c>
      <c r="P64">
        <f t="shared" ca="1" si="9"/>
        <v>5.5991628424953399</v>
      </c>
      <c r="Q64">
        <f t="shared" ca="1" si="8"/>
        <v>5.75238570687966</v>
      </c>
      <c r="S64">
        <f t="shared" ca="1" si="3"/>
        <v>11.407615061154701</v>
      </c>
      <c r="T64">
        <f t="shared" ca="1" si="4"/>
        <v>13.408344693842199</v>
      </c>
      <c r="V64">
        <f t="shared" ca="1" si="2"/>
        <v>12.724310776942319</v>
      </c>
      <c r="Y64">
        <f t="shared" si="5"/>
        <v>5.6999999999999957</v>
      </c>
      <c r="Z64">
        <f t="shared" ca="1" si="6"/>
        <v>12.724310776942319</v>
      </c>
    </row>
    <row r="65" spans="6:26" x14ac:dyDescent="0.25">
      <c r="F65" s="3">
        <v>58</v>
      </c>
      <c r="G65" s="3">
        <v>312.61414790996702</v>
      </c>
      <c r="H65" s="3">
        <v>410.24115755627002</v>
      </c>
      <c r="I65" s="3">
        <v>16.983160845605799</v>
      </c>
      <c r="J65" s="3">
        <v>8.1761102897409792</v>
      </c>
      <c r="N65">
        <f t="shared" si="7"/>
        <v>5.7999999999999954</v>
      </c>
      <c r="P65">
        <f t="shared" ca="1" si="9"/>
        <v>5.75238570687966</v>
      </c>
      <c r="Q65">
        <f t="shared" ca="1" si="8"/>
        <v>5.9971966744110103</v>
      </c>
      <c r="S65">
        <f t="shared" ca="1" si="3"/>
        <v>13.408344693842199</v>
      </c>
      <c r="T65">
        <f t="shared" ca="1" si="4"/>
        <v>12.6952247460686</v>
      </c>
      <c r="V65">
        <f t="shared" ca="1" si="2"/>
        <v>13.269647058823448</v>
      </c>
      <c r="Y65">
        <f t="shared" si="5"/>
        <v>5.7999999999999954</v>
      </c>
      <c r="Z65">
        <f t="shared" ca="1" si="6"/>
        <v>13.269647058823448</v>
      </c>
    </row>
    <row r="66" spans="6:26" x14ac:dyDescent="0.25">
      <c r="F66" s="3">
        <v>59</v>
      </c>
      <c r="G66" s="3">
        <v>315.72990353697702</v>
      </c>
      <c r="H66" s="3">
        <v>427.897106109324</v>
      </c>
      <c r="I66" s="3">
        <v>17.228355830341201</v>
      </c>
      <c r="J66" s="3">
        <v>7.3677540753825701</v>
      </c>
      <c r="N66">
        <f t="shared" si="7"/>
        <v>5.899999999999995</v>
      </c>
      <c r="P66">
        <f t="shared" ca="1" si="9"/>
        <v>5.75238570687966</v>
      </c>
      <c r="Q66">
        <f t="shared" ca="1" si="8"/>
        <v>5.9971966744110103</v>
      </c>
      <c r="S66">
        <f t="shared" ca="1" si="3"/>
        <v>13.408344693842199</v>
      </c>
      <c r="T66">
        <f t="shared" ca="1" si="4"/>
        <v>12.6952247460686</v>
      </c>
      <c r="V66">
        <f t="shared" ca="1" si="2"/>
        <v>12.978352941176421</v>
      </c>
      <c r="Y66">
        <f t="shared" si="5"/>
        <v>5.899999999999995</v>
      </c>
      <c r="Z66">
        <f t="shared" ca="1" si="6"/>
        <v>12.978352941176421</v>
      </c>
    </row>
    <row r="67" spans="6:26" x14ac:dyDescent="0.25">
      <c r="F67" s="3">
        <v>60</v>
      </c>
      <c r="G67" s="3">
        <v>317.80707395498303</v>
      </c>
      <c r="H67" s="3">
        <v>405.04823151125402</v>
      </c>
      <c r="I67" s="3">
        <v>17.3854188667652</v>
      </c>
      <c r="J67" s="3">
        <v>8.4161210422226898</v>
      </c>
      <c r="N67">
        <f t="shared" si="7"/>
        <v>5.9999999999999947</v>
      </c>
      <c r="P67">
        <f t="shared" ca="1" si="9"/>
        <v>5.9971966744110103</v>
      </c>
      <c r="Q67">
        <f t="shared" ca="1" si="8"/>
        <v>6.0670878055336797</v>
      </c>
      <c r="S67">
        <f t="shared" ca="1" si="3"/>
        <v>12.6952247460686</v>
      </c>
      <c r="T67">
        <f t="shared" ca="1" si="4"/>
        <v>15.362224227645299</v>
      </c>
      <c r="V67">
        <f t="shared" ca="1" si="2"/>
        <v>12.802197802197705</v>
      </c>
      <c r="Y67">
        <f t="shared" si="5"/>
        <v>5.9999999999999947</v>
      </c>
      <c r="Z67">
        <f t="shared" ca="1" si="6"/>
        <v>12.802197802197705</v>
      </c>
    </row>
    <row r="68" spans="6:26" x14ac:dyDescent="0.25">
      <c r="F68" s="3">
        <v>61</v>
      </c>
      <c r="G68" s="3">
        <v>320.92282958199303</v>
      </c>
      <c r="H68" s="3">
        <v>446.59163987138197</v>
      </c>
      <c r="I68" s="3">
        <v>17.635030049346199</v>
      </c>
      <c r="J68" s="3">
        <v>6.5125477621397403</v>
      </c>
      <c r="N68">
        <f t="shared" si="7"/>
        <v>6.0999999999999943</v>
      </c>
      <c r="P68">
        <f t="shared" ca="1" si="9"/>
        <v>6.0670878055336797</v>
      </c>
      <c r="Q68">
        <f t="shared" ca="1" si="8"/>
        <v>6.3151629192987802</v>
      </c>
      <c r="S68">
        <f t="shared" ca="1" si="3"/>
        <v>15.362224227645299</v>
      </c>
      <c r="T68">
        <f t="shared" ca="1" si="4"/>
        <v>13.839596013901399</v>
      </c>
      <c r="V68">
        <f t="shared" ca="1" si="2"/>
        <v>15.160216718266152</v>
      </c>
      <c r="Y68">
        <f t="shared" si="5"/>
        <v>6.0999999999999943</v>
      </c>
      <c r="Z68">
        <f t="shared" ca="1" si="6"/>
        <v>15.160216718266152</v>
      </c>
    </row>
    <row r="69" spans="6:26" x14ac:dyDescent="0.25">
      <c r="F69" s="3">
        <v>62</v>
      </c>
      <c r="G69" s="3">
        <v>325.07717041800601</v>
      </c>
      <c r="H69" s="3">
        <v>424.78135048231502</v>
      </c>
      <c r="I69" s="3">
        <v>17.9535723200399</v>
      </c>
      <c r="J69" s="3">
        <v>7.5140646300954197</v>
      </c>
      <c r="N69">
        <f t="shared" si="7"/>
        <v>6.199999999999994</v>
      </c>
      <c r="P69">
        <f t="shared" ca="1" si="9"/>
        <v>6.0670878055336797</v>
      </c>
      <c r="Q69">
        <f t="shared" ca="1" si="8"/>
        <v>6.3151629192987802</v>
      </c>
      <c r="S69">
        <f t="shared" ca="1" si="3"/>
        <v>15.362224227645299</v>
      </c>
      <c r="T69">
        <f t="shared" ca="1" si="4"/>
        <v>13.839596013901399</v>
      </c>
      <c r="V69">
        <f t="shared" ca="1" si="2"/>
        <v>14.546439628482913</v>
      </c>
      <c r="Y69">
        <f t="shared" si="5"/>
        <v>6.199999999999994</v>
      </c>
      <c r="Z69">
        <f t="shared" ca="1" si="6"/>
        <v>14.546439628482913</v>
      </c>
    </row>
    <row r="70" spans="6:26" x14ac:dyDescent="0.25">
      <c r="F70" s="3">
        <v>63</v>
      </c>
      <c r="G70" s="3">
        <v>328.19292604501601</v>
      </c>
      <c r="H70" s="3">
        <v>452.82315112540101</v>
      </c>
      <c r="I70" s="3">
        <v>18.2006873907951</v>
      </c>
      <c r="J70" s="3">
        <v>6.2295270828133003</v>
      </c>
      <c r="N70">
        <f t="shared" si="7"/>
        <v>6.2999999999999936</v>
      </c>
      <c r="P70">
        <f t="shared" ca="1" si="9"/>
        <v>6.0670878055336797</v>
      </c>
      <c r="Q70">
        <f t="shared" ca="1" si="8"/>
        <v>6.3151629192987802</v>
      </c>
      <c r="S70">
        <f t="shared" ca="1" si="3"/>
        <v>15.362224227645299</v>
      </c>
      <c r="T70">
        <f t="shared" ca="1" si="4"/>
        <v>13.839596013901399</v>
      </c>
      <c r="V70">
        <f t="shared" ca="1" si="2"/>
        <v>13.932662538699674</v>
      </c>
      <c r="Y70">
        <f t="shared" si="5"/>
        <v>6.2999999999999936</v>
      </c>
      <c r="Z70">
        <f t="shared" ca="1" si="6"/>
        <v>13.932662538699674</v>
      </c>
    </row>
    <row r="71" spans="6:26" x14ac:dyDescent="0.25">
      <c r="F71" s="3">
        <v>64</v>
      </c>
      <c r="G71" s="3">
        <v>331.30868167202499</v>
      </c>
      <c r="H71" s="3">
        <v>414.39549839228198</v>
      </c>
      <c r="I71" s="3">
        <v>18.4355139110232</v>
      </c>
      <c r="J71" s="3">
        <v>7.99255006624296</v>
      </c>
      <c r="N71">
        <f t="shared" si="7"/>
        <v>6.3999999999999932</v>
      </c>
      <c r="P71">
        <f t="shared" ca="1" si="9"/>
        <v>6.3151629192987802</v>
      </c>
      <c r="Q71">
        <f t="shared" ca="1" si="8"/>
        <v>6.4687698008870704</v>
      </c>
      <c r="S71">
        <f t="shared" ca="1" si="3"/>
        <v>13.839596013901399</v>
      </c>
      <c r="T71">
        <f t="shared" ca="1" si="4"/>
        <v>15.745089380004201</v>
      </c>
      <c r="V71">
        <f t="shared" ref="V71:V80" ca="1" si="10">IFERROR(S71+(T71-S71)*((N71-P71)/(Q71-P71)),"")</f>
        <v>14.891999999999982</v>
      </c>
      <c r="Y71">
        <f t="shared" si="5"/>
        <v>6.3999999999999932</v>
      </c>
      <c r="Z71">
        <f t="shared" ca="1" si="6"/>
        <v>14.891999999999982</v>
      </c>
    </row>
    <row r="72" spans="6:26" x14ac:dyDescent="0.25">
      <c r="F72" s="3">
        <v>65</v>
      </c>
      <c r="G72" s="3">
        <v>335.46302250803802</v>
      </c>
      <c r="H72" s="3">
        <v>475.67202572347202</v>
      </c>
      <c r="I72" s="3">
        <v>18.769416869875698</v>
      </c>
      <c r="J72" s="3">
        <v>5.1846162708089301</v>
      </c>
      <c r="N72">
        <f t="shared" si="7"/>
        <v>6.4999999999999929</v>
      </c>
      <c r="P72">
        <f t="shared" ca="1" si="9"/>
        <v>6.4687698008870704</v>
      </c>
      <c r="Q72">
        <f t="shared" ca="1" si="8"/>
        <v>6.7978725446899997</v>
      </c>
      <c r="S72">
        <f t="shared" ref="S72:S135" ca="1" si="11">OFFSET($J$7,MATCH($N72,$I$7:$I$143,1)-1,0)</f>
        <v>15.745089380004201</v>
      </c>
      <c r="T72">
        <f t="shared" ref="T72:T135" ca="1" si="12">OFFSET($J$7,MATCH($N72,$I$7:$I$143,1),0)</f>
        <v>14.127608916879399</v>
      </c>
      <c r="V72">
        <f t="shared" ca="1" si="10"/>
        <v>15.591598599766591</v>
      </c>
      <c r="Y72">
        <f t="shared" ref="Y72:Y80" si="13">IF(ISNUMBER(N72),N72,NA())</f>
        <v>6.4999999999999929</v>
      </c>
      <c r="Z72">
        <f t="shared" ref="Z72:Z80" ca="1" si="14">IF(ISNUMBER(V72),V72,NA())</f>
        <v>15.591598599766591</v>
      </c>
    </row>
    <row r="73" spans="6:26" x14ac:dyDescent="0.25">
      <c r="F73" s="3">
        <v>66</v>
      </c>
      <c r="G73" s="3">
        <v>340.65594855305397</v>
      </c>
      <c r="H73" s="3">
        <v>448.668810289389</v>
      </c>
      <c r="I73" s="3">
        <v>19.167642710393402</v>
      </c>
      <c r="J73" s="3">
        <v>6.4246078224304402</v>
      </c>
      <c r="N73">
        <f t="shared" ref="N73:N80" si="15">IF(N72&lt;$I$2,N72+(1/N$2),"")</f>
        <v>6.5999999999999925</v>
      </c>
      <c r="P73">
        <f t="shared" ref="P73:P93" ca="1" si="16">OFFSET($I$7,MATCH($N73,$I$7:$I$143,1)-1,0)</f>
        <v>6.4687698008870704</v>
      </c>
      <c r="Q73">
        <f t="shared" ca="1" si="8"/>
        <v>6.7978725446899997</v>
      </c>
      <c r="S73">
        <f t="shared" ca="1" si="11"/>
        <v>15.745089380004201</v>
      </c>
      <c r="T73">
        <f t="shared" ca="1" si="12"/>
        <v>14.127608916879399</v>
      </c>
      <c r="V73">
        <f t="shared" ca="1" si="10"/>
        <v>15.100116686114312</v>
      </c>
      <c r="Y73">
        <f t="shared" si="13"/>
        <v>6.5999999999999925</v>
      </c>
      <c r="Z73">
        <f t="shared" ca="1" si="14"/>
        <v>15.100116686114312</v>
      </c>
    </row>
    <row r="74" spans="6:26" x14ac:dyDescent="0.25">
      <c r="F74" s="3">
        <v>67</v>
      </c>
      <c r="G74" s="3">
        <v>342.733118971061</v>
      </c>
      <c r="H74" s="3">
        <v>473.59485530546601</v>
      </c>
      <c r="I74" s="3">
        <v>19.333538142508701</v>
      </c>
      <c r="J74" s="3">
        <v>5.2825406578214702</v>
      </c>
      <c r="N74">
        <f t="shared" si="15"/>
        <v>6.6999999999999922</v>
      </c>
      <c r="P74">
        <f t="shared" ca="1" si="16"/>
        <v>6.4687698008870704</v>
      </c>
      <c r="Q74">
        <f t="shared" ca="1" si="8"/>
        <v>6.7978725446899997</v>
      </c>
      <c r="S74">
        <f t="shared" ca="1" si="11"/>
        <v>15.745089380004201</v>
      </c>
      <c r="T74">
        <f t="shared" ca="1" si="12"/>
        <v>14.127608916879399</v>
      </c>
      <c r="V74">
        <f t="shared" ca="1" si="10"/>
        <v>14.608634772462032</v>
      </c>
      <c r="Y74">
        <f t="shared" si="13"/>
        <v>6.6999999999999922</v>
      </c>
      <c r="Z74">
        <f t="shared" ca="1" si="14"/>
        <v>14.608634772462032</v>
      </c>
    </row>
    <row r="75" spans="6:26" x14ac:dyDescent="0.25">
      <c r="F75" s="3">
        <v>68</v>
      </c>
      <c r="G75" s="3">
        <v>346.88745980707301</v>
      </c>
      <c r="H75" s="3">
        <v>482.942122186495</v>
      </c>
      <c r="I75" s="3">
        <v>19.657840671262001</v>
      </c>
      <c r="J75" s="3">
        <v>4.8555135270060097</v>
      </c>
      <c r="N75">
        <f t="shared" si="15"/>
        <v>6.7999999999999918</v>
      </c>
      <c r="P75">
        <f t="shared" ca="1" si="16"/>
        <v>6.7978725446899997</v>
      </c>
      <c r="Q75">
        <f t="shared" ref="Q75:Q138" ca="1" si="17">OFFSET($I$7,MATCH($N75,$I$7:$I$143,1),0)</f>
        <v>6.9543595553080699</v>
      </c>
      <c r="S75">
        <f t="shared" ca="1" si="11"/>
        <v>14.127608916879399</v>
      </c>
      <c r="T75">
        <f t="shared" ca="1" si="12"/>
        <v>15.3188302835967</v>
      </c>
      <c r="V75">
        <f t="shared" ca="1" si="10"/>
        <v>14.143803680981476</v>
      </c>
      <c r="Y75">
        <f t="shared" si="13"/>
        <v>6.7999999999999918</v>
      </c>
      <c r="Z75">
        <f t="shared" ca="1" si="14"/>
        <v>14.143803680981476</v>
      </c>
    </row>
    <row r="76" spans="6:26" x14ac:dyDescent="0.25">
      <c r="F76" s="3">
        <v>69</v>
      </c>
      <c r="G76" s="3">
        <v>348.96463022507999</v>
      </c>
      <c r="H76" s="3">
        <v>448.668810289389</v>
      </c>
      <c r="I76" s="3">
        <v>19.812791613064199</v>
      </c>
      <c r="J76" s="3">
        <v>6.4276799600622097</v>
      </c>
      <c r="N76">
        <f t="shared" si="15"/>
        <v>6.8999999999999915</v>
      </c>
      <c r="P76">
        <f t="shared" ca="1" si="16"/>
        <v>6.7978725446899997</v>
      </c>
      <c r="Q76">
        <f t="shared" ca="1" si="17"/>
        <v>6.9543595553080699</v>
      </c>
      <c r="S76">
        <f t="shared" ca="1" si="11"/>
        <v>14.127608916879399</v>
      </c>
      <c r="T76">
        <f t="shared" ca="1" si="12"/>
        <v>15.3188302835967</v>
      </c>
      <c r="V76">
        <f t="shared" ca="1" si="10"/>
        <v>14.905030674846577</v>
      </c>
      <c r="Y76">
        <f t="shared" si="13"/>
        <v>6.8999999999999915</v>
      </c>
      <c r="Z76">
        <f t="shared" ca="1" si="14"/>
        <v>14.905030674846577</v>
      </c>
    </row>
    <row r="77" spans="6:26" x14ac:dyDescent="0.25">
      <c r="F77" s="3">
        <v>70</v>
      </c>
      <c r="G77" s="3">
        <v>353.11897106109302</v>
      </c>
      <c r="H77" s="3">
        <v>452.82315112540101</v>
      </c>
      <c r="I77" s="3">
        <v>20.136134098807599</v>
      </c>
      <c r="J77" s="3">
        <v>6.2387434957085999</v>
      </c>
      <c r="N77">
        <f t="shared" si="15"/>
        <v>6.9999999999999911</v>
      </c>
      <c r="P77">
        <f t="shared" ca="1" si="16"/>
        <v>6.9543595553080699</v>
      </c>
      <c r="Q77">
        <f t="shared" ca="1" si="17"/>
        <v>7.1104625487221798</v>
      </c>
      <c r="S77">
        <f t="shared" ca="1" si="11"/>
        <v>15.3188302835967</v>
      </c>
      <c r="T77">
        <f t="shared" ca="1" si="12"/>
        <v>16.6052879168986</v>
      </c>
      <c r="V77">
        <f t="shared" ca="1" si="10"/>
        <v>15.69495694956945</v>
      </c>
      <c r="Y77">
        <f t="shared" si="13"/>
        <v>6.9999999999999911</v>
      </c>
      <c r="Z77">
        <f t="shared" ca="1" si="14"/>
        <v>15.69495694956945</v>
      </c>
    </row>
    <row r="78" spans="6:26" x14ac:dyDescent="0.25">
      <c r="F78" s="3">
        <v>71</v>
      </c>
      <c r="G78" s="3">
        <v>356.234726688102</v>
      </c>
      <c r="H78" s="3">
        <v>475.67202572347202</v>
      </c>
      <c r="I78" s="3">
        <v>20.382289126552799</v>
      </c>
      <c r="J78" s="3">
        <v>5.19229661488834</v>
      </c>
      <c r="N78">
        <f t="shared" si="15"/>
        <v>7.0999999999999908</v>
      </c>
      <c r="P78">
        <f t="shared" ca="1" si="16"/>
        <v>6.9543595553080699</v>
      </c>
      <c r="Q78">
        <f t="shared" ca="1" si="17"/>
        <v>7.1104625487221798</v>
      </c>
      <c r="S78">
        <f t="shared" ca="1" si="11"/>
        <v>15.3188302835967</v>
      </c>
      <c r="T78">
        <f t="shared" ca="1" si="12"/>
        <v>16.6052879168986</v>
      </c>
      <c r="V78">
        <f t="shared" ca="1" si="10"/>
        <v>16.519065190651787</v>
      </c>
      <c r="Y78">
        <f t="shared" si="13"/>
        <v>7.0999999999999908</v>
      </c>
      <c r="Z78">
        <f t="shared" ca="1" si="14"/>
        <v>16.519065190651787</v>
      </c>
    </row>
    <row r="79" spans="6:26" x14ac:dyDescent="0.25">
      <c r="F79" s="3">
        <v>72</v>
      </c>
      <c r="G79" s="3">
        <v>357.273311897106</v>
      </c>
      <c r="H79" s="3">
        <v>505.79099678456498</v>
      </c>
      <c r="I79" s="3">
        <v>20.468500988844301</v>
      </c>
      <c r="J79" s="3">
        <v>3.8117547666135398</v>
      </c>
      <c r="N79">
        <f t="shared" si="15"/>
        <v>7.1999999999999904</v>
      </c>
      <c r="P79">
        <f t="shared" ca="1" si="16"/>
        <v>7.1104625487221798</v>
      </c>
      <c r="Q79">
        <f t="shared" ca="1" si="17"/>
        <v>7.4278527678039898</v>
      </c>
      <c r="S79">
        <f t="shared" ca="1" si="11"/>
        <v>16.6052879168986</v>
      </c>
      <c r="T79">
        <f t="shared" ca="1" si="12"/>
        <v>17.892513584608501</v>
      </c>
      <c r="V79">
        <f t="shared" ca="1" si="10"/>
        <v>16.968421052631477</v>
      </c>
      <c r="Y79">
        <f t="shared" si="13"/>
        <v>7.1999999999999904</v>
      </c>
      <c r="Z79">
        <f t="shared" ca="1" si="14"/>
        <v>16.968421052631477</v>
      </c>
    </row>
    <row r="80" spans="6:26" x14ac:dyDescent="0.25">
      <c r="F80" s="3">
        <v>73</v>
      </c>
      <c r="G80" s="3">
        <v>362.46623794212201</v>
      </c>
      <c r="H80" s="3">
        <v>488.13504823151101</v>
      </c>
      <c r="I80" s="3">
        <v>20.8684549067798</v>
      </c>
      <c r="J80" s="3">
        <v>4.62318311860371</v>
      </c>
      <c r="N80">
        <f t="shared" si="15"/>
        <v>7.2999999999999901</v>
      </c>
      <c r="P80">
        <f t="shared" ca="1" si="16"/>
        <v>7.1104625487221798</v>
      </c>
      <c r="Q80">
        <f t="shared" ca="1" si="17"/>
        <v>7.4278527678039898</v>
      </c>
      <c r="S80">
        <f t="shared" ca="1" si="11"/>
        <v>16.6052879168986</v>
      </c>
      <c r="T80">
        <f t="shared" ca="1" si="12"/>
        <v>17.892513584608501</v>
      </c>
      <c r="V80">
        <f t="shared" ca="1" si="10"/>
        <v>17.373986690864992</v>
      </c>
      <c r="Y80">
        <f t="shared" si="13"/>
        <v>7.2999999999999901</v>
      </c>
      <c r="Z80">
        <f t="shared" ca="1" si="14"/>
        <v>17.373986690864992</v>
      </c>
    </row>
    <row r="81" spans="6:26" x14ac:dyDescent="0.25">
      <c r="F81" s="3">
        <v>74</v>
      </c>
      <c r="G81" s="3">
        <v>366.62057877813498</v>
      </c>
      <c r="H81" s="3">
        <v>460.09324758842399</v>
      </c>
      <c r="I81" s="3">
        <v>21.185845125861601</v>
      </c>
      <c r="J81" s="3">
        <v>5.9104087863136199</v>
      </c>
      <c r="N81">
        <f t="shared" ref="N81:N144" si="18">IF(N80&lt;$I$2,N80+(1/N$2),"")</f>
        <v>7.3999999999999897</v>
      </c>
      <c r="P81">
        <f t="shared" ca="1" si="16"/>
        <v>7.1104625487221798</v>
      </c>
      <c r="Q81">
        <f t="shared" ca="1" si="17"/>
        <v>7.4278527678039898</v>
      </c>
      <c r="S81">
        <f t="shared" ca="1" si="11"/>
        <v>16.6052879168986</v>
      </c>
      <c r="T81">
        <f t="shared" ca="1" si="12"/>
        <v>17.892513584608501</v>
      </c>
      <c r="V81">
        <f t="shared" ref="V81:V144" ca="1" si="19">IFERROR(S81+(T81-S81)*((N81-P81)/(Q81-P81)),"")</f>
        <v>17.779552329098507</v>
      </c>
      <c r="Y81">
        <f t="shared" ref="Y81:Y144" si="20">IF(ISNUMBER(N81),N81,NA())</f>
        <v>7.3999999999999897</v>
      </c>
      <c r="Z81">
        <f t="shared" ref="Z81:Z144" ca="1" si="21">IF(ISNUMBER(V81),V81,NA())</f>
        <v>17.779552329098507</v>
      </c>
    </row>
    <row r="82" spans="6:26" x14ac:dyDescent="0.25">
      <c r="F82" s="3">
        <v>75</v>
      </c>
      <c r="G82" s="3">
        <v>370.774919614147</v>
      </c>
      <c r="H82" s="3">
        <v>471.51768488745898</v>
      </c>
      <c r="I82" s="3">
        <v>21.5105316718188</v>
      </c>
      <c r="J82" s="3">
        <v>5.3881453889134203</v>
      </c>
      <c r="N82">
        <f t="shared" si="18"/>
        <v>7.4999999999999893</v>
      </c>
      <c r="P82">
        <f t="shared" ca="1" si="16"/>
        <v>7.4278527678039898</v>
      </c>
      <c r="Q82">
        <f t="shared" ca="1" si="17"/>
        <v>7.6820721568326196</v>
      </c>
      <c r="S82">
        <f t="shared" ca="1" si="11"/>
        <v>17.892513584608501</v>
      </c>
      <c r="T82">
        <f t="shared" ca="1" si="12"/>
        <v>14.8461051055087</v>
      </c>
      <c r="V82">
        <f t="shared" ca="1" si="19"/>
        <v>17.027945619335316</v>
      </c>
      <c r="Y82">
        <f t="shared" si="20"/>
        <v>7.4999999999999893</v>
      </c>
      <c r="Z82">
        <f t="shared" ca="1" si="21"/>
        <v>17.027945619335316</v>
      </c>
    </row>
    <row r="83" spans="6:26" x14ac:dyDescent="0.25">
      <c r="F83" s="3">
        <v>76</v>
      </c>
      <c r="G83" s="3">
        <v>374.92926045015997</v>
      </c>
      <c r="H83" s="3">
        <v>447.630225080385</v>
      </c>
      <c r="I83" s="3">
        <v>21.828689925308598</v>
      </c>
      <c r="J83" s="3">
        <v>6.4848985234538503</v>
      </c>
      <c r="N83">
        <f t="shared" si="18"/>
        <v>7.599999999999989</v>
      </c>
      <c r="P83">
        <f t="shared" ca="1" si="16"/>
        <v>7.4278527678039898</v>
      </c>
      <c r="Q83">
        <f t="shared" ca="1" si="17"/>
        <v>7.6820721568326196</v>
      </c>
      <c r="S83">
        <f t="shared" ca="1" si="11"/>
        <v>17.892513584608501</v>
      </c>
      <c r="T83">
        <f t="shared" ca="1" si="12"/>
        <v>14.8461051055087</v>
      </c>
      <c r="V83">
        <f t="shared" ca="1" si="19"/>
        <v>15.82960725075529</v>
      </c>
      <c r="Y83">
        <f t="shared" si="20"/>
        <v>7.599999999999989</v>
      </c>
      <c r="Z83">
        <f t="shared" ca="1" si="21"/>
        <v>15.82960725075529</v>
      </c>
    </row>
    <row r="84" spans="6:26" x14ac:dyDescent="0.25">
      <c r="F84" s="3">
        <v>77</v>
      </c>
      <c r="G84" s="3">
        <v>379.08360128617301</v>
      </c>
      <c r="H84" s="3">
        <v>503.71382636655898</v>
      </c>
      <c r="I84" s="3">
        <v>22.161632841151199</v>
      </c>
      <c r="J84" s="3">
        <v>3.9150553944816702</v>
      </c>
      <c r="N84">
        <f t="shared" si="18"/>
        <v>7.6999999999999886</v>
      </c>
      <c r="P84">
        <f t="shared" ca="1" si="16"/>
        <v>7.6820721568326196</v>
      </c>
      <c r="Q84">
        <f t="shared" ca="1" si="17"/>
        <v>7.9954301952727498</v>
      </c>
      <c r="S84">
        <f t="shared" ca="1" si="11"/>
        <v>14.8461051055087</v>
      </c>
      <c r="T84">
        <f t="shared" ca="1" si="12"/>
        <v>17.133311572358402</v>
      </c>
      <c r="V84">
        <f t="shared" ca="1" si="19"/>
        <v>14.976960784313659</v>
      </c>
      <c r="Y84">
        <f t="shared" si="20"/>
        <v>7.6999999999999886</v>
      </c>
      <c r="Z84">
        <f t="shared" ca="1" si="21"/>
        <v>14.976960784313659</v>
      </c>
    </row>
    <row r="85" spans="6:26" x14ac:dyDescent="0.25">
      <c r="F85" s="3">
        <v>78</v>
      </c>
      <c r="G85" s="3">
        <v>382.19935691318301</v>
      </c>
      <c r="H85" s="3">
        <v>469.44051446945298</v>
      </c>
      <c r="I85" s="3">
        <v>22.397227395787301</v>
      </c>
      <c r="J85" s="3">
        <v>5.4876058447418403</v>
      </c>
      <c r="N85">
        <f t="shared" si="18"/>
        <v>7.7999999999999883</v>
      </c>
      <c r="P85">
        <f t="shared" ca="1" si="16"/>
        <v>7.6820721568326196</v>
      </c>
      <c r="Q85">
        <f t="shared" ca="1" si="17"/>
        <v>7.9954301952727498</v>
      </c>
      <c r="S85">
        <f t="shared" ca="1" si="11"/>
        <v>14.8461051055087</v>
      </c>
      <c r="T85">
        <f t="shared" ca="1" si="12"/>
        <v>17.133311572358402</v>
      </c>
      <c r="V85">
        <f t="shared" ca="1" si="19"/>
        <v>15.706862745097947</v>
      </c>
      <c r="Y85">
        <f t="shared" si="20"/>
        <v>7.7999999999999883</v>
      </c>
      <c r="Z85">
        <f t="shared" ca="1" si="21"/>
        <v>15.706862745097947</v>
      </c>
    </row>
    <row r="86" spans="6:26" x14ac:dyDescent="0.25">
      <c r="F86" s="3">
        <v>79</v>
      </c>
      <c r="G86" s="3">
        <v>387.39228295819902</v>
      </c>
      <c r="H86" s="3">
        <v>493.32797427652702</v>
      </c>
      <c r="I86" s="3">
        <v>22.804861657802199</v>
      </c>
      <c r="J86" s="3">
        <v>4.39430886503715</v>
      </c>
      <c r="N86">
        <f t="shared" si="18"/>
        <v>7.8999999999999879</v>
      </c>
      <c r="P86">
        <f t="shared" ca="1" si="16"/>
        <v>7.6820721568326196</v>
      </c>
      <c r="Q86">
        <f t="shared" ca="1" si="17"/>
        <v>7.9954301952727498</v>
      </c>
      <c r="S86">
        <f t="shared" ca="1" si="11"/>
        <v>14.8461051055087</v>
      </c>
      <c r="T86">
        <f t="shared" ca="1" si="12"/>
        <v>17.133311572358402</v>
      </c>
      <c r="V86">
        <f t="shared" ca="1" si="19"/>
        <v>16.436764705882236</v>
      </c>
      <c r="Y86">
        <f t="shared" si="20"/>
        <v>7.8999999999999879</v>
      </c>
      <c r="Z86">
        <f t="shared" ca="1" si="21"/>
        <v>16.436764705882236</v>
      </c>
    </row>
    <row r="87" spans="6:26" x14ac:dyDescent="0.25">
      <c r="F87" s="3">
        <v>80</v>
      </c>
      <c r="G87" s="3">
        <v>389.46945337620502</v>
      </c>
      <c r="H87" s="3">
        <v>482.942122186495</v>
      </c>
      <c r="I87" s="3">
        <v>22.964228797450101</v>
      </c>
      <c r="J87" s="3">
        <v>4.8712582323688096</v>
      </c>
      <c r="N87">
        <f t="shared" si="18"/>
        <v>7.9999999999999876</v>
      </c>
      <c r="P87">
        <f t="shared" ca="1" si="16"/>
        <v>7.9954301952727498</v>
      </c>
      <c r="Q87">
        <f t="shared" ca="1" si="17"/>
        <v>8.16958199727347</v>
      </c>
      <c r="S87">
        <f t="shared" ca="1" si="11"/>
        <v>17.133311572358402</v>
      </c>
      <c r="T87">
        <f t="shared" ca="1" si="12"/>
        <v>13.9436646761774</v>
      </c>
      <c r="V87">
        <f t="shared" ca="1" si="19"/>
        <v>17.049614112458865</v>
      </c>
      <c r="Y87">
        <f t="shared" si="20"/>
        <v>7.9999999999999876</v>
      </c>
      <c r="Z87">
        <f t="shared" ca="1" si="21"/>
        <v>17.049614112458865</v>
      </c>
    </row>
    <row r="88" spans="6:26" x14ac:dyDescent="0.25">
      <c r="F88" s="3">
        <v>81</v>
      </c>
      <c r="G88" s="3">
        <v>391.546623794212</v>
      </c>
      <c r="H88" s="3">
        <v>519.292604501607</v>
      </c>
      <c r="I88" s="3">
        <v>23.1322363241873</v>
      </c>
      <c r="J88" s="3">
        <v>3.20539160154375</v>
      </c>
      <c r="N88">
        <f t="shared" si="18"/>
        <v>8.0999999999999872</v>
      </c>
      <c r="P88">
        <f t="shared" ca="1" si="16"/>
        <v>7.9954301952727498</v>
      </c>
      <c r="Q88">
        <f t="shared" ca="1" si="17"/>
        <v>8.16958199727347</v>
      </c>
      <c r="S88">
        <f t="shared" ca="1" si="11"/>
        <v>17.133311572358402</v>
      </c>
      <c r="T88">
        <f t="shared" ca="1" si="12"/>
        <v>13.9436646761774</v>
      </c>
      <c r="V88">
        <f t="shared" ca="1" si="19"/>
        <v>15.218081587651687</v>
      </c>
      <c r="Y88">
        <f t="shared" si="20"/>
        <v>8.0999999999999872</v>
      </c>
      <c r="Z88">
        <f t="shared" ca="1" si="21"/>
        <v>15.218081587651687</v>
      </c>
    </row>
    <row r="89" spans="6:26" x14ac:dyDescent="0.25">
      <c r="F89" s="3">
        <v>82</v>
      </c>
      <c r="G89" s="3">
        <v>395.70096463022497</v>
      </c>
      <c r="H89" s="3">
        <v>505.79099678456498</v>
      </c>
      <c r="I89" s="3">
        <v>23.4523146636969</v>
      </c>
      <c r="J89" s="3">
        <v>3.8259634031604599</v>
      </c>
      <c r="N89">
        <f t="shared" si="18"/>
        <v>8.1999999999999869</v>
      </c>
      <c r="P89">
        <f t="shared" ca="1" si="16"/>
        <v>8.16958199727347</v>
      </c>
      <c r="Q89">
        <f t="shared" ca="1" si="17"/>
        <v>8.3982642422380493</v>
      </c>
      <c r="S89">
        <f t="shared" ca="1" si="11"/>
        <v>13.9436646761774</v>
      </c>
      <c r="T89">
        <f t="shared" ca="1" si="12"/>
        <v>17.230467924963001</v>
      </c>
      <c r="V89">
        <f t="shared" ca="1" si="19"/>
        <v>14.380856423173633</v>
      </c>
      <c r="Y89">
        <f t="shared" si="20"/>
        <v>8.1999999999999869</v>
      </c>
      <c r="Z89">
        <f t="shared" ca="1" si="21"/>
        <v>14.380856423173633</v>
      </c>
    </row>
    <row r="90" spans="6:26" x14ac:dyDescent="0.25">
      <c r="F90" s="3">
        <v>83</v>
      </c>
      <c r="G90" s="3">
        <v>399.85530546623698</v>
      </c>
      <c r="H90" s="3">
        <v>527.60128617363296</v>
      </c>
      <c r="I90" s="3">
        <v>23.778921295673999</v>
      </c>
      <c r="J90" s="3">
        <v>2.8275186728365398</v>
      </c>
      <c r="N90">
        <f t="shared" si="18"/>
        <v>8.2999999999999865</v>
      </c>
      <c r="P90">
        <f t="shared" ca="1" si="16"/>
        <v>8.16958199727347</v>
      </c>
      <c r="Q90">
        <f t="shared" ca="1" si="17"/>
        <v>8.3982642422380493</v>
      </c>
      <c r="S90">
        <f t="shared" ca="1" si="11"/>
        <v>13.9436646761774</v>
      </c>
      <c r="T90">
        <f t="shared" ca="1" si="12"/>
        <v>17.230467924963001</v>
      </c>
      <c r="V90">
        <f t="shared" ca="1" si="19"/>
        <v>15.818136020150952</v>
      </c>
      <c r="Y90">
        <f t="shared" si="20"/>
        <v>8.2999999999999865</v>
      </c>
      <c r="Z90">
        <f t="shared" ca="1" si="21"/>
        <v>15.818136020150952</v>
      </c>
    </row>
    <row r="91" spans="6:26" x14ac:dyDescent="0.25">
      <c r="F91" s="3">
        <v>84</v>
      </c>
      <c r="G91" s="3">
        <v>406.08681672025699</v>
      </c>
      <c r="H91" s="3">
        <v>512.02250803858499</v>
      </c>
      <c r="I91" s="3">
        <v>24.2599028436473</v>
      </c>
      <c r="J91" s="3">
        <v>3.54409477544593</v>
      </c>
      <c r="N91">
        <f t="shared" si="18"/>
        <v>8.3999999999999861</v>
      </c>
      <c r="P91">
        <f t="shared" ca="1" si="16"/>
        <v>8.3982642422380493</v>
      </c>
      <c r="Q91">
        <f t="shared" ca="1" si="17"/>
        <v>8.57491215606459</v>
      </c>
      <c r="S91">
        <f t="shared" ca="1" si="11"/>
        <v>17.230467924963001</v>
      </c>
      <c r="T91">
        <f t="shared" ca="1" si="12"/>
        <v>13.4217852959812</v>
      </c>
      <c r="V91">
        <f t="shared" ca="1" si="19"/>
        <v>17.193043478261067</v>
      </c>
      <c r="Y91">
        <f t="shared" si="20"/>
        <v>8.3999999999999861</v>
      </c>
      <c r="Z91">
        <f t="shared" ca="1" si="21"/>
        <v>17.193043478261067</v>
      </c>
    </row>
    <row r="92" spans="6:26" x14ac:dyDescent="0.25">
      <c r="F92" s="3">
        <v>85</v>
      </c>
      <c r="G92" s="3">
        <v>410.24115755627002</v>
      </c>
      <c r="H92" s="3">
        <v>481.903536977491</v>
      </c>
      <c r="I92" s="3">
        <v>24.576909045525198</v>
      </c>
      <c r="J92" s="3">
        <v>4.9265567097405896</v>
      </c>
      <c r="N92">
        <f t="shared" si="18"/>
        <v>8.4999999999999858</v>
      </c>
      <c r="P92">
        <f t="shared" ca="1" si="16"/>
        <v>8.3982642422380493</v>
      </c>
      <c r="Q92">
        <f t="shared" ca="1" si="17"/>
        <v>8.57491215606459</v>
      </c>
      <c r="S92">
        <f t="shared" ca="1" si="11"/>
        <v>17.230467924963001</v>
      </c>
      <c r="T92">
        <f t="shared" ca="1" si="12"/>
        <v>13.4217852959812</v>
      </c>
      <c r="V92">
        <f t="shared" ca="1" si="19"/>
        <v>15.03695652173934</v>
      </c>
      <c r="Y92">
        <f t="shared" si="20"/>
        <v>8.4999999999999858</v>
      </c>
      <c r="Z92">
        <f t="shared" ca="1" si="21"/>
        <v>15.03695652173934</v>
      </c>
    </row>
    <row r="93" spans="6:26" x14ac:dyDescent="0.25">
      <c r="F93" s="3">
        <v>86</v>
      </c>
      <c r="G93" s="3">
        <v>418.54983922829501</v>
      </c>
      <c r="H93" s="3">
        <v>549.41157556270002</v>
      </c>
      <c r="I93" s="3">
        <v>25.234538507325102</v>
      </c>
      <c r="J93" s="3">
        <v>1.8344501833682101</v>
      </c>
      <c r="N93">
        <f t="shared" si="18"/>
        <v>8.5999999999999854</v>
      </c>
      <c r="P93">
        <f t="shared" ca="1" si="16"/>
        <v>8.57491215606459</v>
      </c>
      <c r="Q93">
        <f t="shared" ca="1" si="17"/>
        <v>8.8158829515562296</v>
      </c>
      <c r="S93">
        <f t="shared" ca="1" si="11"/>
        <v>13.4217852959812</v>
      </c>
      <c r="T93">
        <f t="shared" ca="1" si="12"/>
        <v>13.661028014055001</v>
      </c>
      <c r="V93">
        <f t="shared" ca="1" si="19"/>
        <v>13.446693227091565</v>
      </c>
      <c r="Y93">
        <f t="shared" si="20"/>
        <v>8.5999999999999854</v>
      </c>
      <c r="Z93">
        <f t="shared" ca="1" si="21"/>
        <v>13.446693227091565</v>
      </c>
    </row>
    <row r="94" spans="6:26" x14ac:dyDescent="0.25">
      <c r="F94" s="3">
        <v>87</v>
      </c>
      <c r="G94" s="3">
        <v>422.70418006430799</v>
      </c>
      <c r="H94" s="3">
        <v>546.29581993569104</v>
      </c>
      <c r="I94" s="3">
        <v>25.556536932854499</v>
      </c>
      <c r="J94" s="3">
        <v>1.9788406520612101</v>
      </c>
      <c r="N94">
        <f t="shared" si="18"/>
        <v>8.6999999999999851</v>
      </c>
      <c r="P94">
        <f t="shared" ref="P94:P157" ca="1" si="22">OFFSET($I$7,MATCH($N94,$I$7:$I$143,1)-1,0)</f>
        <v>8.57491215606459</v>
      </c>
      <c r="Q94">
        <f t="shared" ca="1" si="17"/>
        <v>8.8158829515562296</v>
      </c>
      <c r="S94">
        <f t="shared" ca="1" si="11"/>
        <v>13.4217852959812</v>
      </c>
      <c r="T94">
        <f t="shared" ca="1" si="12"/>
        <v>13.661028014055001</v>
      </c>
      <c r="V94">
        <f t="shared" ca="1" si="19"/>
        <v>13.545976095617473</v>
      </c>
      <c r="Y94">
        <f t="shared" si="20"/>
        <v>8.6999999999999851</v>
      </c>
      <c r="Z94">
        <f t="shared" ca="1" si="21"/>
        <v>13.545976095617473</v>
      </c>
    </row>
    <row r="95" spans="6:26" x14ac:dyDescent="0.25">
      <c r="F95" s="3">
        <v>88</v>
      </c>
      <c r="G95" s="3">
        <v>424.78135048231502</v>
      </c>
      <c r="H95" s="3">
        <v>559.79742765273295</v>
      </c>
      <c r="I95" s="3">
        <v>25.7203202703481</v>
      </c>
      <c r="J95" s="3">
        <v>1.36057295366832</v>
      </c>
      <c r="N95">
        <f t="shared" si="18"/>
        <v>8.7999999999999847</v>
      </c>
      <c r="P95">
        <f t="shared" ca="1" si="22"/>
        <v>8.57491215606459</v>
      </c>
      <c r="Q95">
        <f t="shared" ca="1" si="17"/>
        <v>8.8158829515562296</v>
      </c>
      <c r="S95">
        <f t="shared" ca="1" si="11"/>
        <v>13.4217852959812</v>
      </c>
      <c r="T95">
        <f t="shared" ca="1" si="12"/>
        <v>13.661028014055001</v>
      </c>
      <c r="V95">
        <f t="shared" ca="1" si="19"/>
        <v>13.64525896414338</v>
      </c>
      <c r="Y95">
        <f t="shared" si="20"/>
        <v>8.7999999999999847</v>
      </c>
      <c r="Z95">
        <f t="shared" ca="1" si="21"/>
        <v>13.64525896414338</v>
      </c>
    </row>
    <row r="96" spans="6:26" x14ac:dyDescent="0.25">
      <c r="F96" s="3">
        <v>89</v>
      </c>
      <c r="G96" s="3">
        <v>427.897106109324</v>
      </c>
      <c r="H96" s="3">
        <v>579.53054662379395</v>
      </c>
      <c r="I96" s="3">
        <v>25.965899272287398</v>
      </c>
      <c r="J96" s="3">
        <v>0.456980472725177</v>
      </c>
      <c r="N96">
        <f t="shared" si="18"/>
        <v>8.8999999999999844</v>
      </c>
      <c r="P96">
        <f t="shared" ca="1" si="22"/>
        <v>8.8158829515562296</v>
      </c>
      <c r="Q96">
        <f t="shared" ca="1" si="17"/>
        <v>9.0509014803863206</v>
      </c>
      <c r="S96">
        <f t="shared" ca="1" si="11"/>
        <v>13.661028014055001</v>
      </c>
      <c r="T96">
        <f t="shared" ca="1" si="12"/>
        <v>15.376432864192299</v>
      </c>
      <c r="V96">
        <f t="shared" ca="1" si="19"/>
        <v>14.274999999999864</v>
      </c>
      <c r="Y96">
        <f t="shared" si="20"/>
        <v>8.8999999999999844</v>
      </c>
      <c r="Z96">
        <f t="shared" ca="1" si="21"/>
        <v>14.274999999999864</v>
      </c>
    </row>
    <row r="97" spans="6:26" x14ac:dyDescent="0.25">
      <c r="F97" s="3">
        <v>90</v>
      </c>
      <c r="G97" s="3">
        <v>429.97427652733103</v>
      </c>
      <c r="H97" s="3">
        <v>541.10289389067498</v>
      </c>
      <c r="I97" s="3">
        <v>26.120082179681599</v>
      </c>
      <c r="J97" s="3">
        <v>2.2196194389508599</v>
      </c>
      <c r="N97">
        <f t="shared" si="18"/>
        <v>8.999999999999984</v>
      </c>
      <c r="P97">
        <f t="shared" ca="1" si="22"/>
        <v>8.8158829515562296</v>
      </c>
      <c r="Q97">
        <f t="shared" ca="1" si="17"/>
        <v>9.0509014803863206</v>
      </c>
      <c r="S97">
        <f t="shared" ca="1" si="11"/>
        <v>13.661028014055001</v>
      </c>
      <c r="T97">
        <f t="shared" ca="1" si="12"/>
        <v>15.376432864192299</v>
      </c>
      <c r="V97">
        <f t="shared" ca="1" si="19"/>
        <v>15.004901960784181</v>
      </c>
      <c r="Y97">
        <f t="shared" si="20"/>
        <v>8.999999999999984</v>
      </c>
      <c r="Z97">
        <f t="shared" ca="1" si="21"/>
        <v>15.004901960784181</v>
      </c>
    </row>
    <row r="98" spans="6:26" x14ac:dyDescent="0.25">
      <c r="F98" s="3">
        <v>91</v>
      </c>
      <c r="G98" s="3">
        <v>438.28295819935602</v>
      </c>
      <c r="H98" s="3">
        <v>559.79742765273295</v>
      </c>
      <c r="I98" s="3">
        <v>26.7686872371882</v>
      </c>
      <c r="J98" s="3">
        <v>1.36556517731994</v>
      </c>
      <c r="N98">
        <f t="shared" si="18"/>
        <v>9.0999999999999837</v>
      </c>
      <c r="P98">
        <f t="shared" ca="1" si="22"/>
        <v>9.0509014803863206</v>
      </c>
      <c r="Q98">
        <f t="shared" ca="1" si="17"/>
        <v>9.2997446285593597</v>
      </c>
      <c r="S98">
        <f t="shared" ca="1" si="11"/>
        <v>15.376432864192299</v>
      </c>
      <c r="T98">
        <f t="shared" ca="1" si="12"/>
        <v>13.6633321172788</v>
      </c>
      <c r="V98">
        <f t="shared" ca="1" si="19"/>
        <v>15.038425925926012</v>
      </c>
      <c r="Y98">
        <f t="shared" si="20"/>
        <v>9.0999999999999837</v>
      </c>
      <c r="Z98">
        <f t="shared" ca="1" si="21"/>
        <v>15.038425925926012</v>
      </c>
    </row>
    <row r="99" spans="6:26" x14ac:dyDescent="0.25">
      <c r="F99" s="3">
        <v>92</v>
      </c>
      <c r="G99" s="3">
        <v>439.32154340836001</v>
      </c>
      <c r="H99" s="3">
        <v>546.29581993569104</v>
      </c>
      <c r="I99" s="3">
        <v>26.8468347381962</v>
      </c>
      <c r="J99" s="3">
        <v>1.98498492732474</v>
      </c>
      <c r="N99">
        <f t="shared" si="18"/>
        <v>9.1999999999999833</v>
      </c>
      <c r="P99">
        <f t="shared" ca="1" si="22"/>
        <v>9.0509014803863206</v>
      </c>
      <c r="Q99">
        <f t="shared" ca="1" si="17"/>
        <v>9.2997446285593597</v>
      </c>
      <c r="S99">
        <f t="shared" ca="1" si="11"/>
        <v>15.376432864192299</v>
      </c>
      <c r="T99">
        <f t="shared" ca="1" si="12"/>
        <v>13.6633321172788</v>
      </c>
      <c r="V99">
        <f t="shared" ca="1" si="19"/>
        <v>14.350000000000076</v>
      </c>
      <c r="Y99">
        <f t="shared" si="20"/>
        <v>9.1999999999999833</v>
      </c>
      <c r="Z99">
        <f t="shared" ca="1" si="21"/>
        <v>14.350000000000076</v>
      </c>
    </row>
    <row r="100" spans="6:26" x14ac:dyDescent="0.25">
      <c r="F100" s="3">
        <v>93</v>
      </c>
      <c r="G100" s="3">
        <v>444.51446945337602</v>
      </c>
      <c r="H100" s="3">
        <v>499.559485530546</v>
      </c>
      <c r="I100" s="3">
        <v>27.241412415276201</v>
      </c>
      <c r="J100" s="3">
        <v>4.1297210115013101</v>
      </c>
      <c r="N100">
        <f t="shared" si="18"/>
        <v>9.2999999999999829</v>
      </c>
      <c r="P100">
        <f t="shared" ca="1" si="22"/>
        <v>9.2997446285593597</v>
      </c>
      <c r="Q100">
        <f t="shared" ca="1" si="17"/>
        <v>9.5366832434092998</v>
      </c>
      <c r="S100">
        <f t="shared" ca="1" si="11"/>
        <v>13.6633321172788</v>
      </c>
      <c r="T100">
        <f t="shared" ca="1" si="12"/>
        <v>14.9025556344924</v>
      </c>
      <c r="V100">
        <f t="shared" ca="1" si="19"/>
        <v>13.664667747163552</v>
      </c>
      <c r="Y100">
        <f t="shared" si="20"/>
        <v>9.2999999999999829</v>
      </c>
      <c r="Z100">
        <f t="shared" ca="1" si="21"/>
        <v>13.664667747163552</v>
      </c>
    </row>
    <row r="101" spans="6:26" x14ac:dyDescent="0.25">
      <c r="F101" s="3">
        <v>94</v>
      </c>
      <c r="G101" s="3">
        <v>447.630225080385</v>
      </c>
      <c r="H101" s="3">
        <v>529.67845659163902</v>
      </c>
      <c r="I101" s="3">
        <v>27.4889115032353</v>
      </c>
      <c r="J101" s="3">
        <v>2.7499471976344498</v>
      </c>
      <c r="N101">
        <f t="shared" si="18"/>
        <v>9.3999999999999826</v>
      </c>
      <c r="P101">
        <f t="shared" ca="1" si="22"/>
        <v>9.2997446285593597</v>
      </c>
      <c r="Q101">
        <f t="shared" ca="1" si="17"/>
        <v>9.5366832434092998</v>
      </c>
      <c r="S101">
        <f t="shared" ca="1" si="11"/>
        <v>13.6633321172788</v>
      </c>
      <c r="T101">
        <f t="shared" ca="1" si="12"/>
        <v>14.9025556344924</v>
      </c>
      <c r="V101">
        <f t="shared" ca="1" si="19"/>
        <v>14.187682333873459</v>
      </c>
      <c r="Y101">
        <f t="shared" si="20"/>
        <v>9.3999999999999826</v>
      </c>
      <c r="Z101">
        <f t="shared" ca="1" si="21"/>
        <v>14.187682333873459</v>
      </c>
    </row>
    <row r="102" spans="6:26" x14ac:dyDescent="0.25">
      <c r="F102" s="3">
        <v>95</v>
      </c>
      <c r="G102" s="3">
        <v>451.78456591639798</v>
      </c>
      <c r="H102" s="3">
        <v>524.48553054662295</v>
      </c>
      <c r="I102" s="3">
        <v>27.810525911560799</v>
      </c>
      <c r="J102" s="3">
        <v>2.9895739329121902</v>
      </c>
      <c r="N102">
        <f t="shared" si="18"/>
        <v>9.4999999999999822</v>
      </c>
      <c r="P102">
        <f t="shared" ca="1" si="22"/>
        <v>9.2997446285593597</v>
      </c>
      <c r="Q102">
        <f t="shared" ca="1" si="17"/>
        <v>9.5366832434092998</v>
      </c>
      <c r="S102">
        <f t="shared" ca="1" si="11"/>
        <v>13.6633321172788</v>
      </c>
      <c r="T102">
        <f t="shared" ca="1" si="12"/>
        <v>14.9025556344924</v>
      </c>
      <c r="V102">
        <f t="shared" ca="1" si="19"/>
        <v>14.710696920583366</v>
      </c>
      <c r="Y102">
        <f t="shared" si="20"/>
        <v>9.4999999999999822</v>
      </c>
      <c r="Z102">
        <f t="shared" ca="1" si="21"/>
        <v>14.710696920583366</v>
      </c>
    </row>
    <row r="103" spans="6:26" x14ac:dyDescent="0.25">
      <c r="F103" s="3">
        <v>96</v>
      </c>
      <c r="G103" s="3">
        <v>453.86173633440501</v>
      </c>
      <c r="H103" s="3">
        <v>506.82958199356898</v>
      </c>
      <c r="I103" s="3">
        <v>27.968548990994702</v>
      </c>
      <c r="J103" s="3">
        <v>3.79985023329044</v>
      </c>
      <c r="N103">
        <f t="shared" si="18"/>
        <v>9.5999999999999819</v>
      </c>
      <c r="P103">
        <f t="shared" ca="1" si="22"/>
        <v>9.5366832434092998</v>
      </c>
      <c r="Q103">
        <f t="shared" ca="1" si="17"/>
        <v>9.6190549336610207</v>
      </c>
      <c r="S103">
        <f t="shared" ca="1" si="11"/>
        <v>14.9025556344924</v>
      </c>
      <c r="T103">
        <f t="shared" ca="1" si="12"/>
        <v>14.474376452065</v>
      </c>
      <c r="V103">
        <f t="shared" ca="1" si="19"/>
        <v>14.573426573426586</v>
      </c>
      <c r="Y103">
        <f t="shared" si="20"/>
        <v>9.5999999999999819</v>
      </c>
      <c r="Z103">
        <f t="shared" ca="1" si="21"/>
        <v>14.573426573426586</v>
      </c>
    </row>
    <row r="104" spans="6:26" x14ac:dyDescent="0.25">
      <c r="F104" s="3">
        <v>97</v>
      </c>
      <c r="G104" s="3">
        <v>460.09324758842399</v>
      </c>
      <c r="H104" s="3">
        <v>550.45016077170396</v>
      </c>
      <c r="I104" s="3">
        <v>28.460475029281302</v>
      </c>
      <c r="J104" s="3">
        <v>1.8021927382346701</v>
      </c>
      <c r="N104">
        <f t="shared" si="18"/>
        <v>9.6999999999999815</v>
      </c>
      <c r="P104">
        <f t="shared" ca="1" si="22"/>
        <v>9.6190549336610207</v>
      </c>
      <c r="Q104">
        <f t="shared" ca="1" si="17"/>
        <v>9.8596417119486901</v>
      </c>
      <c r="S104">
        <f t="shared" ca="1" si="11"/>
        <v>14.474376452065</v>
      </c>
      <c r="T104">
        <f t="shared" ca="1" si="12"/>
        <v>14.808855436723499</v>
      </c>
      <c r="V104">
        <f t="shared" ca="1" si="19"/>
        <v>14.586911412609663</v>
      </c>
      <c r="Y104">
        <f t="shared" si="20"/>
        <v>9.6999999999999815</v>
      </c>
      <c r="Z104">
        <f t="shared" ca="1" si="21"/>
        <v>14.586911412609663</v>
      </c>
    </row>
    <row r="105" spans="6:26" x14ac:dyDescent="0.25">
      <c r="F105" s="3">
        <v>98</v>
      </c>
      <c r="G105" s="3">
        <v>462.17041800643</v>
      </c>
      <c r="H105" s="3">
        <v>537.98713826366497</v>
      </c>
      <c r="I105" s="3">
        <v>28.619458151725102</v>
      </c>
      <c r="J105" s="3">
        <v>2.3743783721510701</v>
      </c>
      <c r="N105">
        <f t="shared" si="18"/>
        <v>9.7999999999999812</v>
      </c>
      <c r="P105">
        <f t="shared" ca="1" si="22"/>
        <v>9.6190549336610207</v>
      </c>
      <c r="Q105">
        <f t="shared" ca="1" si="17"/>
        <v>9.8596417119486901</v>
      </c>
      <c r="S105">
        <f t="shared" ca="1" si="11"/>
        <v>14.474376452065</v>
      </c>
      <c r="T105">
        <f t="shared" ca="1" si="12"/>
        <v>14.808855436723499</v>
      </c>
      <c r="V105">
        <f t="shared" ca="1" si="19"/>
        <v>14.725937749401355</v>
      </c>
      <c r="Y105">
        <f t="shared" si="20"/>
        <v>9.7999999999999812</v>
      </c>
      <c r="Z105">
        <f t="shared" ca="1" si="21"/>
        <v>14.725937749401355</v>
      </c>
    </row>
    <row r="106" spans="6:26" x14ac:dyDescent="0.25">
      <c r="F106" s="3">
        <v>99</v>
      </c>
      <c r="G106" s="3">
        <v>470.47909967845601</v>
      </c>
      <c r="H106" s="3">
        <v>579.53054662379395</v>
      </c>
      <c r="I106" s="3">
        <v>29.272287398475399</v>
      </c>
      <c r="J106" s="3">
        <v>0.47272517808797598</v>
      </c>
      <c r="N106">
        <f t="shared" si="18"/>
        <v>9.8999999999999808</v>
      </c>
      <c r="P106">
        <f t="shared" ca="1" si="22"/>
        <v>9.8596417119486901</v>
      </c>
      <c r="Q106">
        <f t="shared" ca="1" si="17"/>
        <v>9.9508457978917395</v>
      </c>
      <c r="S106">
        <f t="shared" ca="1" si="11"/>
        <v>14.808855436723499</v>
      </c>
      <c r="T106">
        <f t="shared" ca="1" si="12"/>
        <v>12.190242122847099</v>
      </c>
      <c r="V106">
        <f t="shared" ca="1" si="19"/>
        <v>13.650105263158247</v>
      </c>
      <c r="Y106">
        <f t="shared" si="20"/>
        <v>9.8999999999999808</v>
      </c>
      <c r="Z106">
        <f t="shared" ca="1" si="21"/>
        <v>13.650105263158247</v>
      </c>
    </row>
    <row r="107" spans="6:26" x14ac:dyDescent="0.25">
      <c r="F107" s="3">
        <v>100</v>
      </c>
      <c r="G107" s="3">
        <v>472.55627009646298</v>
      </c>
      <c r="H107" s="3">
        <v>574.337620578778</v>
      </c>
      <c r="I107" s="3">
        <v>29.432614581133201</v>
      </c>
      <c r="J107" s="3">
        <v>0.71158387895777797</v>
      </c>
      <c r="N107">
        <f t="shared" si="18"/>
        <v>9.9999999999999805</v>
      </c>
      <c r="P107">
        <f t="shared" ca="1" si="22"/>
        <v>9.9508457978917395</v>
      </c>
      <c r="Q107">
        <f t="shared" ca="1" si="17"/>
        <v>10.347919586797399</v>
      </c>
      <c r="S107">
        <f t="shared" ca="1" si="11"/>
        <v>12.190242122847099</v>
      </c>
      <c r="T107">
        <f t="shared" ca="1" si="12"/>
        <v>13.7159424742228</v>
      </c>
      <c r="V107">
        <f t="shared" ca="1" si="19"/>
        <v>12.379110251450655</v>
      </c>
      <c r="Y107">
        <f t="shared" si="20"/>
        <v>9.9999999999999805</v>
      </c>
      <c r="Z107">
        <f t="shared" ca="1" si="21"/>
        <v>12.379110251450655</v>
      </c>
    </row>
    <row r="108" spans="6:26" x14ac:dyDescent="0.25">
      <c r="F108" s="3">
        <v>101</v>
      </c>
      <c r="G108" s="3">
        <v>475.67202572347202</v>
      </c>
      <c r="H108" s="3">
        <v>541.10289389067498</v>
      </c>
      <c r="I108" s="3">
        <v>29.668401144371199</v>
      </c>
      <c r="J108" s="3">
        <v>2.2365161959255699</v>
      </c>
      <c r="N108">
        <f t="shared" si="18"/>
        <v>10.09999999999998</v>
      </c>
      <c r="P108">
        <f t="shared" ca="1" si="22"/>
        <v>9.9508457978917395</v>
      </c>
      <c r="Q108">
        <f t="shared" ca="1" si="17"/>
        <v>10.347919586797399</v>
      </c>
      <c r="S108">
        <f t="shared" ca="1" si="11"/>
        <v>12.190242122847099</v>
      </c>
      <c r="T108">
        <f t="shared" ca="1" si="12"/>
        <v>13.7159424742228</v>
      </c>
      <c r="V108">
        <f t="shared" ca="1" si="19"/>
        <v>12.763346228239893</v>
      </c>
      <c r="Y108">
        <f t="shared" si="20"/>
        <v>10.09999999999998</v>
      </c>
      <c r="Z108">
        <f t="shared" ca="1" si="21"/>
        <v>12.763346228239893</v>
      </c>
    </row>
    <row r="109" spans="6:26" x14ac:dyDescent="0.25">
      <c r="F109" s="3">
        <v>102</v>
      </c>
      <c r="G109" s="3">
        <v>483.98070739549797</v>
      </c>
      <c r="H109" s="3">
        <v>534.87138263665599</v>
      </c>
      <c r="I109" s="3">
        <v>30.3123979954301</v>
      </c>
      <c r="J109" s="3">
        <v>2.5252971333115601</v>
      </c>
      <c r="N109">
        <f t="shared" si="18"/>
        <v>10.19999999999998</v>
      </c>
      <c r="P109">
        <f t="shared" ca="1" si="22"/>
        <v>9.9508457978917395</v>
      </c>
      <c r="Q109">
        <f t="shared" ca="1" si="17"/>
        <v>10.347919586797399</v>
      </c>
      <c r="S109">
        <f t="shared" ca="1" si="11"/>
        <v>12.190242122847099</v>
      </c>
      <c r="T109">
        <f t="shared" ca="1" si="12"/>
        <v>13.7159424742228</v>
      </c>
      <c r="V109">
        <f t="shared" ca="1" si="19"/>
        <v>13.14758220502913</v>
      </c>
      <c r="Y109">
        <f t="shared" si="20"/>
        <v>10.19999999999998</v>
      </c>
      <c r="Z109">
        <f t="shared" ca="1" si="21"/>
        <v>13.14758220502913</v>
      </c>
    </row>
    <row r="110" spans="6:26" x14ac:dyDescent="0.25">
      <c r="F110" s="3">
        <v>103</v>
      </c>
      <c r="G110" s="3">
        <v>483.98070739549797</v>
      </c>
      <c r="H110" s="3">
        <v>552.52733118971003</v>
      </c>
      <c r="I110" s="3">
        <v>30.3156621416639</v>
      </c>
      <c r="J110" s="3">
        <v>1.71578886734125</v>
      </c>
      <c r="N110">
        <f t="shared" si="18"/>
        <v>10.299999999999979</v>
      </c>
      <c r="P110">
        <f t="shared" ca="1" si="22"/>
        <v>9.9508457978917395</v>
      </c>
      <c r="Q110">
        <f t="shared" ca="1" si="17"/>
        <v>10.347919586797399</v>
      </c>
      <c r="S110">
        <f t="shared" ca="1" si="11"/>
        <v>12.190242122847099</v>
      </c>
      <c r="T110">
        <f t="shared" ca="1" si="12"/>
        <v>13.7159424742228</v>
      </c>
      <c r="V110">
        <f t="shared" ca="1" si="19"/>
        <v>13.531818181818366</v>
      </c>
      <c r="Y110">
        <f t="shared" si="20"/>
        <v>10.299999999999979</v>
      </c>
      <c r="Z110">
        <f t="shared" ca="1" si="21"/>
        <v>13.531818181818366</v>
      </c>
    </row>
    <row r="111" spans="6:26" x14ac:dyDescent="0.25">
      <c r="F111" s="3">
        <v>104</v>
      </c>
      <c r="G111" s="3">
        <v>492.28938906752398</v>
      </c>
      <c r="H111" s="3">
        <v>563.95176848874598</v>
      </c>
      <c r="I111" s="3">
        <v>30.962923138956601</v>
      </c>
      <c r="J111" s="3">
        <v>1.1950615387569301</v>
      </c>
      <c r="N111">
        <f t="shared" si="18"/>
        <v>10.399999999999979</v>
      </c>
      <c r="P111">
        <f t="shared" ca="1" si="22"/>
        <v>10.347919586797399</v>
      </c>
      <c r="Q111">
        <f t="shared" ca="1" si="17"/>
        <v>10.499606382365901</v>
      </c>
      <c r="S111">
        <f t="shared" ca="1" si="11"/>
        <v>13.7159424742228</v>
      </c>
      <c r="T111">
        <f t="shared" ca="1" si="12"/>
        <v>16.097617173249301</v>
      </c>
      <c r="V111">
        <f t="shared" ca="1" si="19"/>
        <v>14.533670886076649</v>
      </c>
      <c r="Y111">
        <f t="shared" si="20"/>
        <v>10.399999999999979</v>
      </c>
      <c r="Z111">
        <f t="shared" ca="1" si="21"/>
        <v>14.533670886076649</v>
      </c>
    </row>
    <row r="112" spans="6:26" x14ac:dyDescent="0.25">
      <c r="F112" s="3">
        <v>105</v>
      </c>
      <c r="G112" s="3">
        <v>495.40514469453302</v>
      </c>
      <c r="H112" s="3">
        <v>546.29581993569104</v>
      </c>
      <c r="I112" s="3">
        <v>31.2015898312244</v>
      </c>
      <c r="J112" s="3">
        <v>2.0057218563391599</v>
      </c>
      <c r="N112">
        <f t="shared" si="18"/>
        <v>10.499999999999979</v>
      </c>
      <c r="P112">
        <f t="shared" ca="1" si="22"/>
        <v>10.499606382365901</v>
      </c>
      <c r="Q112">
        <f t="shared" ca="1" si="17"/>
        <v>10.822948868109201</v>
      </c>
      <c r="S112">
        <f t="shared" ca="1" si="11"/>
        <v>16.097617173249301</v>
      </c>
      <c r="T112">
        <f t="shared" ca="1" si="12"/>
        <v>15.9086807088957</v>
      </c>
      <c r="V112">
        <f t="shared" ca="1" si="19"/>
        <v>16.097387173396609</v>
      </c>
      <c r="Y112">
        <f t="shared" si="20"/>
        <v>10.499999999999979</v>
      </c>
      <c r="Z112">
        <f t="shared" ca="1" si="21"/>
        <v>16.097387173396609</v>
      </c>
    </row>
    <row r="113" spans="6:26" x14ac:dyDescent="0.25">
      <c r="F113" s="3">
        <v>106</v>
      </c>
      <c r="G113" s="3">
        <v>497.48231511253999</v>
      </c>
      <c r="H113" s="3">
        <v>541.10289389067498</v>
      </c>
      <c r="I113" s="3">
        <v>31.361917013882199</v>
      </c>
      <c r="J113" s="3">
        <v>2.2445805572089599</v>
      </c>
      <c r="N113">
        <f t="shared" si="18"/>
        <v>10.599999999999978</v>
      </c>
      <c r="P113">
        <f t="shared" ca="1" si="22"/>
        <v>10.499606382365901</v>
      </c>
      <c r="Q113">
        <f t="shared" ca="1" si="17"/>
        <v>10.822948868109201</v>
      </c>
      <c r="S113">
        <f t="shared" ca="1" si="11"/>
        <v>16.097617173249301</v>
      </c>
      <c r="T113">
        <f t="shared" ca="1" si="12"/>
        <v>15.9086807088957</v>
      </c>
      <c r="V113">
        <f t="shared" ca="1" si="19"/>
        <v>16.038954869358594</v>
      </c>
      <c r="Y113">
        <f t="shared" si="20"/>
        <v>10.599999999999978</v>
      </c>
      <c r="Z113">
        <f t="shared" ca="1" si="21"/>
        <v>16.038954869358594</v>
      </c>
    </row>
    <row r="114" spans="6:26" x14ac:dyDescent="0.25">
      <c r="F114" s="3">
        <v>107</v>
      </c>
      <c r="G114" s="3">
        <v>504.75241157556201</v>
      </c>
      <c r="H114" s="3">
        <v>559.79742765273295</v>
      </c>
      <c r="I114" s="3">
        <v>31.929878458554899</v>
      </c>
      <c r="J114" s="3">
        <v>1.39014227837407</v>
      </c>
      <c r="N114">
        <f t="shared" si="18"/>
        <v>10.699999999999978</v>
      </c>
      <c r="P114">
        <f t="shared" ca="1" si="22"/>
        <v>10.499606382365901</v>
      </c>
      <c r="Q114">
        <f t="shared" ca="1" si="17"/>
        <v>10.822948868109201</v>
      </c>
      <c r="S114">
        <f t="shared" ca="1" si="11"/>
        <v>16.097617173249301</v>
      </c>
      <c r="T114">
        <f t="shared" ca="1" si="12"/>
        <v>15.9086807088957</v>
      </c>
      <c r="V114">
        <f t="shared" ca="1" si="19"/>
        <v>15.980522565320578</v>
      </c>
      <c r="Y114">
        <f t="shared" si="20"/>
        <v>10.699999999999978</v>
      </c>
      <c r="Z114">
        <f t="shared" ca="1" si="21"/>
        <v>15.980522565320578</v>
      </c>
    </row>
    <row r="115" spans="6:26" x14ac:dyDescent="0.25">
      <c r="F115" s="3">
        <v>108</v>
      </c>
      <c r="G115" s="3">
        <v>506.82958199356898</v>
      </c>
      <c r="H115" s="3">
        <v>574.337620578778</v>
      </c>
      <c r="I115" s="3">
        <v>32.093853804650401</v>
      </c>
      <c r="J115" s="3">
        <v>0.72425644668881195</v>
      </c>
      <c r="N115">
        <f t="shared" si="18"/>
        <v>10.799999999999978</v>
      </c>
      <c r="P115">
        <f t="shared" ca="1" si="22"/>
        <v>10.499606382365901</v>
      </c>
      <c r="Q115">
        <f t="shared" ca="1" si="17"/>
        <v>10.822948868109201</v>
      </c>
      <c r="S115">
        <f t="shared" ca="1" si="11"/>
        <v>16.097617173249301</v>
      </c>
      <c r="T115">
        <f t="shared" ca="1" si="12"/>
        <v>15.9086807088957</v>
      </c>
      <c r="V115">
        <f t="shared" ca="1" si="19"/>
        <v>15.922090261282564</v>
      </c>
      <c r="Y115">
        <f t="shared" si="20"/>
        <v>10.799999999999978</v>
      </c>
      <c r="Z115">
        <f t="shared" ca="1" si="21"/>
        <v>15.922090261282564</v>
      </c>
    </row>
    <row r="116" spans="6:26" x14ac:dyDescent="0.25">
      <c r="F116" s="3">
        <v>109</v>
      </c>
      <c r="G116" s="3">
        <v>512.02250803858499</v>
      </c>
      <c r="H116" s="3">
        <v>542.14147909967801</v>
      </c>
      <c r="I116" s="3">
        <v>32.491119602158101</v>
      </c>
      <c r="J116" s="3">
        <v>2.2023386647721801</v>
      </c>
      <c r="N116">
        <f t="shared" si="18"/>
        <v>10.899999999999977</v>
      </c>
      <c r="P116">
        <f t="shared" ca="1" si="22"/>
        <v>10.822948868109201</v>
      </c>
      <c r="Q116">
        <f t="shared" ca="1" si="17"/>
        <v>11.079856377565701</v>
      </c>
      <c r="S116">
        <f t="shared" ca="1" si="11"/>
        <v>15.9086807088957</v>
      </c>
      <c r="T116">
        <f t="shared" ca="1" si="12"/>
        <v>12.1956183637026</v>
      </c>
      <c r="V116">
        <f t="shared" ca="1" si="19"/>
        <v>14.795067264573273</v>
      </c>
      <c r="Y116">
        <f t="shared" si="20"/>
        <v>10.899999999999977</v>
      </c>
      <c r="Z116">
        <f t="shared" ca="1" si="21"/>
        <v>14.795067264573273</v>
      </c>
    </row>
    <row r="117" spans="6:26" x14ac:dyDescent="0.25">
      <c r="F117" s="3">
        <v>110</v>
      </c>
      <c r="G117" s="3">
        <v>518.25401929260397</v>
      </c>
      <c r="H117" s="3">
        <v>542.14147909967801</v>
      </c>
      <c r="I117" s="3">
        <v>32.974981279161298</v>
      </c>
      <c r="J117" s="3">
        <v>2.2046427679959999</v>
      </c>
      <c r="N117">
        <f t="shared" si="18"/>
        <v>10.999999999999977</v>
      </c>
      <c r="P117">
        <f t="shared" ca="1" si="22"/>
        <v>10.822948868109201</v>
      </c>
      <c r="Q117">
        <f t="shared" ca="1" si="17"/>
        <v>11.079856377565701</v>
      </c>
      <c r="S117">
        <f t="shared" ca="1" si="11"/>
        <v>15.9086807088957</v>
      </c>
      <c r="T117">
        <f t="shared" ca="1" si="12"/>
        <v>12.1956183637026</v>
      </c>
      <c r="V117">
        <f t="shared" ca="1" si="19"/>
        <v>13.349775784753067</v>
      </c>
      <c r="Y117">
        <f t="shared" si="20"/>
        <v>10.999999999999977</v>
      </c>
      <c r="Z117">
        <f t="shared" ca="1" si="21"/>
        <v>13.349775784753067</v>
      </c>
    </row>
    <row r="118" spans="6:26" x14ac:dyDescent="0.25">
      <c r="F118" s="3">
        <v>111</v>
      </c>
      <c r="G118" s="3">
        <v>521.36977491961397</v>
      </c>
      <c r="H118" s="3">
        <v>566.02893890675205</v>
      </c>
      <c r="I118" s="3">
        <v>33.221328315508501</v>
      </c>
      <c r="J118" s="3">
        <v>1.1105777538833701</v>
      </c>
      <c r="N118">
        <f t="shared" si="18"/>
        <v>11.099999999999977</v>
      </c>
      <c r="P118">
        <f t="shared" ca="1" si="22"/>
        <v>11.079856377565701</v>
      </c>
      <c r="Q118">
        <f t="shared" ca="1" si="17"/>
        <v>11.4830744417349</v>
      </c>
      <c r="S118">
        <f t="shared" ca="1" si="11"/>
        <v>12.1956183637026</v>
      </c>
      <c r="T118">
        <f t="shared" ca="1" si="12"/>
        <v>12.197538449722501</v>
      </c>
      <c r="V118">
        <f t="shared" ca="1" si="19"/>
        <v>12.195714285714194</v>
      </c>
      <c r="Y118">
        <f t="shared" si="20"/>
        <v>11.099999999999977</v>
      </c>
      <c r="Z118">
        <f t="shared" ca="1" si="21"/>
        <v>12.195714285714194</v>
      </c>
    </row>
    <row r="119" spans="6:26" x14ac:dyDescent="0.25">
      <c r="F119" s="3">
        <v>112</v>
      </c>
      <c r="G119" s="3">
        <v>528.63987138263599</v>
      </c>
      <c r="H119" s="3">
        <v>547.33440514469396</v>
      </c>
      <c r="I119" s="3">
        <v>33.782377450509699</v>
      </c>
      <c r="J119" s="3">
        <v>1.9703922735738499</v>
      </c>
      <c r="N119">
        <f t="shared" si="18"/>
        <v>11.199999999999976</v>
      </c>
      <c r="P119">
        <f t="shared" ca="1" si="22"/>
        <v>11.079856377565701</v>
      </c>
      <c r="Q119">
        <f t="shared" ca="1" si="17"/>
        <v>11.4830744417349</v>
      </c>
      <c r="S119">
        <f t="shared" ca="1" si="11"/>
        <v>12.1956183637026</v>
      </c>
      <c r="T119">
        <f t="shared" ca="1" si="12"/>
        <v>12.197538449722501</v>
      </c>
      <c r="V119">
        <f t="shared" ca="1" si="19"/>
        <v>12.196190476190397</v>
      </c>
      <c r="Y119">
        <f t="shared" si="20"/>
        <v>11.199999999999976</v>
      </c>
      <c r="Z119">
        <f t="shared" ca="1" si="21"/>
        <v>12.196190476190397</v>
      </c>
    </row>
    <row r="120" spans="6:26" x14ac:dyDescent="0.25">
      <c r="F120" s="3">
        <v>113</v>
      </c>
      <c r="G120" s="3">
        <v>530.71704180064296</v>
      </c>
      <c r="H120" s="3">
        <v>557.72025723472598</v>
      </c>
      <c r="I120" s="3">
        <v>33.945584762197299</v>
      </c>
      <c r="J120" s="3">
        <v>1.49497897505808</v>
      </c>
      <c r="N120">
        <f t="shared" si="18"/>
        <v>11.299999999999976</v>
      </c>
      <c r="P120">
        <f t="shared" ca="1" si="22"/>
        <v>11.079856377565701</v>
      </c>
      <c r="Q120">
        <f t="shared" ca="1" si="17"/>
        <v>11.4830744417349</v>
      </c>
      <c r="S120">
        <f t="shared" ca="1" si="11"/>
        <v>12.1956183637026</v>
      </c>
      <c r="T120">
        <f t="shared" ca="1" si="12"/>
        <v>12.197538449722501</v>
      </c>
      <c r="V120">
        <f t="shared" ca="1" si="19"/>
        <v>12.196666666666598</v>
      </c>
      <c r="Y120">
        <f t="shared" si="20"/>
        <v>11.299999999999976</v>
      </c>
      <c r="Z120">
        <f t="shared" ca="1" si="21"/>
        <v>12.196666666666598</v>
      </c>
    </row>
    <row r="121" spans="6:26" x14ac:dyDescent="0.25">
      <c r="F121" s="3">
        <v>114</v>
      </c>
      <c r="G121" s="3">
        <v>534.87138263665599</v>
      </c>
      <c r="H121" s="3">
        <v>550.45016077170396</v>
      </c>
      <c r="I121" s="3">
        <v>34.266815153318802</v>
      </c>
      <c r="J121" s="3">
        <v>1.8298419769205601</v>
      </c>
      <c r="N121">
        <f t="shared" si="18"/>
        <v>11.399999999999975</v>
      </c>
      <c r="P121">
        <f t="shared" ca="1" si="22"/>
        <v>11.079856377565701</v>
      </c>
      <c r="Q121">
        <f t="shared" ca="1" si="17"/>
        <v>11.4830744417349</v>
      </c>
      <c r="S121">
        <f t="shared" ca="1" si="11"/>
        <v>12.1956183637026</v>
      </c>
      <c r="T121">
        <f t="shared" ca="1" si="12"/>
        <v>12.197538449722501</v>
      </c>
      <c r="V121">
        <f t="shared" ca="1" si="19"/>
        <v>12.197142857142801</v>
      </c>
      <c r="Y121">
        <f t="shared" si="20"/>
        <v>11.399999999999975</v>
      </c>
      <c r="Z121">
        <f t="shared" ca="1" si="21"/>
        <v>12.197142857142801</v>
      </c>
    </row>
    <row r="122" spans="6:26" x14ac:dyDescent="0.25">
      <c r="F122" s="3">
        <v>115</v>
      </c>
      <c r="G122" s="3">
        <v>540.06430868167195</v>
      </c>
      <c r="H122" s="3">
        <v>574.337620578778</v>
      </c>
      <c r="I122" s="3">
        <v>34.674449415333797</v>
      </c>
      <c r="J122" s="3">
        <v>0.73654499721587596</v>
      </c>
      <c r="N122">
        <f t="shared" si="18"/>
        <v>11.499999999999975</v>
      </c>
      <c r="P122">
        <f t="shared" ca="1" si="22"/>
        <v>11.4830744417349</v>
      </c>
      <c r="Q122">
        <f t="shared" ca="1" si="17"/>
        <v>11.8801482306407</v>
      </c>
      <c r="S122">
        <f t="shared" ca="1" si="11"/>
        <v>12.197538449722501</v>
      </c>
      <c r="T122">
        <f t="shared" ca="1" si="12"/>
        <v>13.7232388010982</v>
      </c>
      <c r="V122">
        <f t="shared" ca="1" si="19"/>
        <v>12.262572533849323</v>
      </c>
      <c r="Y122">
        <f t="shared" si="20"/>
        <v>11.499999999999975</v>
      </c>
      <c r="Z122">
        <f t="shared" ca="1" si="21"/>
        <v>12.262572533849323</v>
      </c>
    </row>
    <row r="123" spans="6:26" x14ac:dyDescent="0.25">
      <c r="F123" s="3">
        <v>116</v>
      </c>
      <c r="G123" s="3">
        <v>545.25723472668801</v>
      </c>
      <c r="H123" s="3">
        <v>551.48874598070699</v>
      </c>
      <c r="I123" s="3">
        <v>35.073443290259398</v>
      </c>
      <c r="J123" s="3">
        <v>1.7860640156679</v>
      </c>
      <c r="N123">
        <f t="shared" si="18"/>
        <v>11.599999999999975</v>
      </c>
      <c r="P123">
        <f t="shared" ca="1" si="22"/>
        <v>11.4830744417349</v>
      </c>
      <c r="Q123">
        <f t="shared" ca="1" si="17"/>
        <v>11.8801482306407</v>
      </c>
      <c r="S123">
        <f t="shared" ca="1" si="11"/>
        <v>12.197538449722501</v>
      </c>
      <c r="T123">
        <f t="shared" ca="1" si="12"/>
        <v>13.7232388010982</v>
      </c>
      <c r="V123">
        <f t="shared" ca="1" si="19"/>
        <v>12.646808510638424</v>
      </c>
      <c r="Y123">
        <f t="shared" si="20"/>
        <v>11.599999999999975</v>
      </c>
      <c r="Z123">
        <f t="shared" ca="1" si="21"/>
        <v>12.646808510638424</v>
      </c>
    </row>
    <row r="124" spans="6:26" x14ac:dyDescent="0.25">
      <c r="F124" s="3">
        <v>117</v>
      </c>
      <c r="G124" s="3">
        <v>549.41157556270002</v>
      </c>
      <c r="H124" s="3">
        <v>551.48874598070699</v>
      </c>
      <c r="I124" s="3">
        <v>35.396017741594797</v>
      </c>
      <c r="J124" s="3">
        <v>1.78760008448378</v>
      </c>
      <c r="N124">
        <f t="shared" si="18"/>
        <v>11.699999999999974</v>
      </c>
      <c r="P124">
        <f t="shared" ca="1" si="22"/>
        <v>11.4830744417349</v>
      </c>
      <c r="Q124">
        <f t="shared" ca="1" si="17"/>
        <v>11.8801482306407</v>
      </c>
      <c r="S124">
        <f t="shared" ca="1" si="11"/>
        <v>12.197538449722501</v>
      </c>
      <c r="T124">
        <f t="shared" ca="1" si="12"/>
        <v>13.7232388010982</v>
      </c>
      <c r="V124">
        <f t="shared" ca="1" si="19"/>
        <v>13.031044487427524</v>
      </c>
      <c r="Y124">
        <f t="shared" si="20"/>
        <v>11.699999999999974</v>
      </c>
      <c r="Z124">
        <f t="shared" ca="1" si="21"/>
        <v>13.031044487427524</v>
      </c>
    </row>
    <row r="125" spans="6:26" x14ac:dyDescent="0.25">
      <c r="F125" s="3">
        <v>118</v>
      </c>
      <c r="G125" s="3">
        <v>554.604501607717</v>
      </c>
      <c r="H125" s="3">
        <v>570.18327974276497</v>
      </c>
      <c r="I125" s="3">
        <v>35.802691960599802</v>
      </c>
      <c r="J125" s="3">
        <v>0.93239377124094902</v>
      </c>
      <c r="N125">
        <f t="shared" si="18"/>
        <v>11.799999999999974</v>
      </c>
      <c r="P125">
        <f t="shared" ca="1" si="22"/>
        <v>11.4830744417349</v>
      </c>
      <c r="Q125">
        <f t="shared" ca="1" si="17"/>
        <v>11.8801482306407</v>
      </c>
      <c r="S125">
        <f t="shared" ca="1" si="11"/>
        <v>12.197538449722501</v>
      </c>
      <c r="T125">
        <f t="shared" ca="1" si="12"/>
        <v>13.7232388010982</v>
      </c>
      <c r="V125">
        <f t="shared" ca="1" si="19"/>
        <v>13.415280464216625</v>
      </c>
      <c r="Y125">
        <f t="shared" si="20"/>
        <v>11.799999999999974</v>
      </c>
      <c r="Z125">
        <f t="shared" ca="1" si="21"/>
        <v>13.415280464216625</v>
      </c>
    </row>
    <row r="126" spans="6:26" x14ac:dyDescent="0.25">
      <c r="F126" s="3">
        <v>119</v>
      </c>
      <c r="G126" s="3">
        <v>558.75884244372901</v>
      </c>
      <c r="H126" s="3">
        <v>557.72025723472598</v>
      </c>
      <c r="I126" s="3">
        <v>36.122962308711401</v>
      </c>
      <c r="J126" s="3">
        <v>1.5053474395652899</v>
      </c>
      <c r="N126">
        <f t="shared" si="18"/>
        <v>11.899999999999974</v>
      </c>
      <c r="P126">
        <f t="shared" ca="1" si="22"/>
        <v>11.8801482306407</v>
      </c>
      <c r="Q126">
        <f t="shared" ca="1" si="17"/>
        <v>12.2088669572396</v>
      </c>
      <c r="S126">
        <f t="shared" ca="1" si="11"/>
        <v>13.7232388010982</v>
      </c>
      <c r="T126">
        <f t="shared" ca="1" si="12"/>
        <v>12.200994604558201</v>
      </c>
      <c r="V126">
        <f t="shared" ca="1" si="19"/>
        <v>13.631308411214818</v>
      </c>
      <c r="Y126">
        <f t="shared" si="20"/>
        <v>11.899999999999974</v>
      </c>
      <c r="Z126">
        <f t="shared" ca="1" si="21"/>
        <v>13.631308411214818</v>
      </c>
    </row>
    <row r="127" spans="6:26" x14ac:dyDescent="0.25">
      <c r="F127" s="3">
        <v>120</v>
      </c>
      <c r="G127" s="3">
        <v>563.95176848874598</v>
      </c>
      <c r="H127" s="3">
        <v>546.29581993569104</v>
      </c>
      <c r="I127" s="3">
        <v>36.524068278258802</v>
      </c>
      <c r="J127" s="3">
        <v>2.0310669918012301</v>
      </c>
      <c r="N127">
        <f t="shared" si="18"/>
        <v>11.999999999999973</v>
      </c>
      <c r="P127">
        <f t="shared" ca="1" si="22"/>
        <v>11.8801482306407</v>
      </c>
      <c r="Q127">
        <f t="shared" ca="1" si="17"/>
        <v>12.2088669572396</v>
      </c>
      <c r="S127">
        <f t="shared" ca="1" si="11"/>
        <v>13.7232388010982</v>
      </c>
      <c r="T127">
        <f t="shared" ca="1" si="12"/>
        <v>12.200994604558201</v>
      </c>
      <c r="V127">
        <f t="shared" ca="1" si="19"/>
        <v>13.168224299065217</v>
      </c>
      <c r="Y127">
        <f t="shared" si="20"/>
        <v>11.999999999999973</v>
      </c>
      <c r="Z127">
        <f t="shared" ca="1" si="21"/>
        <v>13.168224299065217</v>
      </c>
    </row>
    <row r="128" spans="6:26" x14ac:dyDescent="0.25">
      <c r="F128" s="3">
        <v>121</v>
      </c>
      <c r="G128" s="3">
        <v>567.06752411575496</v>
      </c>
      <c r="H128" s="3">
        <v>536.94855305466206</v>
      </c>
      <c r="I128" s="3">
        <v>36.764271039342503</v>
      </c>
      <c r="J128" s="3">
        <v>2.4607822430444801</v>
      </c>
      <c r="N128">
        <f t="shared" si="18"/>
        <v>12.099999999999973</v>
      </c>
      <c r="P128">
        <f t="shared" ca="1" si="22"/>
        <v>11.8801482306407</v>
      </c>
      <c r="Q128">
        <f t="shared" ca="1" si="17"/>
        <v>12.2088669572396</v>
      </c>
      <c r="S128">
        <f t="shared" ca="1" si="11"/>
        <v>13.7232388010982</v>
      </c>
      <c r="T128">
        <f t="shared" ca="1" si="12"/>
        <v>12.200994604558201</v>
      </c>
      <c r="V128">
        <f t="shared" ca="1" si="19"/>
        <v>12.705140186915616</v>
      </c>
      <c r="Y128">
        <f t="shared" si="20"/>
        <v>12.099999999999973</v>
      </c>
      <c r="Z128">
        <f t="shared" ca="1" si="21"/>
        <v>12.705140186915616</v>
      </c>
    </row>
    <row r="129" spans="6:26" x14ac:dyDescent="0.25">
      <c r="F129" s="3">
        <v>122</v>
      </c>
      <c r="G129" s="3">
        <v>573.29903536977395</v>
      </c>
      <c r="H129" s="3">
        <v>542.14147909967801</v>
      </c>
      <c r="I129" s="3">
        <v>37.249092759355598</v>
      </c>
      <c r="J129" s="3">
        <v>2.2249956798064501</v>
      </c>
      <c r="N129">
        <f t="shared" si="18"/>
        <v>12.199999999999973</v>
      </c>
      <c r="P129">
        <f t="shared" ca="1" si="22"/>
        <v>11.8801482306407</v>
      </c>
      <c r="Q129">
        <f t="shared" ca="1" si="17"/>
        <v>12.2088669572396</v>
      </c>
      <c r="S129">
        <f t="shared" ca="1" si="11"/>
        <v>13.7232388010982</v>
      </c>
      <c r="T129">
        <f t="shared" ca="1" si="12"/>
        <v>12.200994604558201</v>
      </c>
      <c r="V129">
        <f t="shared" ca="1" si="19"/>
        <v>12.242056074766014</v>
      </c>
      <c r="Y129">
        <f t="shared" si="20"/>
        <v>12.199999999999973</v>
      </c>
      <c r="Z129">
        <f t="shared" ca="1" si="21"/>
        <v>12.242056074766014</v>
      </c>
    </row>
    <row r="130" spans="6:26" x14ac:dyDescent="0.25">
      <c r="F130" s="3">
        <v>123</v>
      </c>
      <c r="G130" s="3">
        <v>576.41479099678395</v>
      </c>
      <c r="H130" s="3">
        <v>558.75884244372901</v>
      </c>
      <c r="I130" s="3">
        <v>37.494095735488898</v>
      </c>
      <c r="J130" s="3">
        <v>1.4642575987404201</v>
      </c>
      <c r="N130">
        <f t="shared" si="18"/>
        <v>12.299999999999972</v>
      </c>
      <c r="P130">
        <f t="shared" ca="1" si="22"/>
        <v>12.2088669572396</v>
      </c>
      <c r="Q130">
        <f t="shared" ca="1" si="17"/>
        <v>12.540465812868399</v>
      </c>
      <c r="S130">
        <f t="shared" ca="1" si="11"/>
        <v>12.200994604558201</v>
      </c>
      <c r="T130">
        <f t="shared" ca="1" si="12"/>
        <v>9.9644784086327007</v>
      </c>
      <c r="V130">
        <f t="shared" ca="1" si="19"/>
        <v>11.586334684423537</v>
      </c>
      <c r="Y130">
        <f t="shared" si="20"/>
        <v>12.299999999999972</v>
      </c>
      <c r="Z130">
        <f t="shared" ca="1" si="21"/>
        <v>11.586334684423537</v>
      </c>
    </row>
    <row r="131" spans="6:26" x14ac:dyDescent="0.25">
      <c r="F131" s="3">
        <v>124</v>
      </c>
      <c r="G131" s="3">
        <v>581.60771704180002</v>
      </c>
      <c r="H131" s="3">
        <v>553.56591639871294</v>
      </c>
      <c r="I131" s="3">
        <v>37.896353756648203</v>
      </c>
      <c r="J131" s="3">
        <v>1.7042683512221299</v>
      </c>
      <c r="N131">
        <f t="shared" si="18"/>
        <v>12.399999999999972</v>
      </c>
      <c r="P131">
        <f t="shared" ca="1" si="22"/>
        <v>12.2088669572396</v>
      </c>
      <c r="Q131">
        <f t="shared" ca="1" si="17"/>
        <v>12.540465812868399</v>
      </c>
      <c r="S131">
        <f t="shared" ca="1" si="11"/>
        <v>12.200994604558201</v>
      </c>
      <c r="T131">
        <f t="shared" ca="1" si="12"/>
        <v>9.9644784086327007</v>
      </c>
      <c r="V131">
        <f t="shared" ca="1" si="19"/>
        <v>10.91187029530963</v>
      </c>
      <c r="Y131">
        <f t="shared" si="20"/>
        <v>12.399999999999972</v>
      </c>
      <c r="Z131">
        <f t="shared" ca="1" si="21"/>
        <v>10.91187029530963</v>
      </c>
    </row>
    <row r="132" spans="6:26" x14ac:dyDescent="0.25">
      <c r="F132" s="3">
        <v>125</v>
      </c>
      <c r="G132" s="3">
        <v>585.76205787781305</v>
      </c>
      <c r="H132" s="3">
        <v>550.45016077170396</v>
      </c>
      <c r="I132" s="3">
        <v>38.218352182177703</v>
      </c>
      <c r="J132" s="3">
        <v>1.8486588199151299</v>
      </c>
      <c r="N132">
        <f t="shared" si="18"/>
        <v>12.499999999999972</v>
      </c>
      <c r="P132">
        <f t="shared" ca="1" si="22"/>
        <v>12.2088669572396</v>
      </c>
      <c r="Q132">
        <f t="shared" ca="1" si="17"/>
        <v>12.540465812868399</v>
      </c>
      <c r="S132">
        <f t="shared" ca="1" si="11"/>
        <v>12.200994604558201</v>
      </c>
      <c r="T132">
        <f t="shared" ca="1" si="12"/>
        <v>9.9644784086327007</v>
      </c>
      <c r="V132">
        <f t="shared" ca="1" si="19"/>
        <v>10.23740590619572</v>
      </c>
      <c r="Y132">
        <f t="shared" si="20"/>
        <v>12.499999999999972</v>
      </c>
      <c r="Z132">
        <f t="shared" ca="1" si="21"/>
        <v>10.23740590619572</v>
      </c>
    </row>
    <row r="133" spans="6:26" x14ac:dyDescent="0.25">
      <c r="F133" s="3">
        <v>126</v>
      </c>
      <c r="G133" s="3">
        <v>589.91639871382597</v>
      </c>
      <c r="H133" s="3">
        <v>577.45337620578698</v>
      </c>
      <c r="I133" s="3">
        <v>38.5459188571648</v>
      </c>
      <c r="J133" s="3">
        <v>0.61212342312935397</v>
      </c>
      <c r="N133">
        <f t="shared" si="18"/>
        <v>12.599999999999971</v>
      </c>
      <c r="P133">
        <f t="shared" ca="1" si="22"/>
        <v>12.540465812868399</v>
      </c>
      <c r="Q133">
        <f t="shared" ca="1" si="17"/>
        <v>12.9358115243562</v>
      </c>
      <c r="S133">
        <f t="shared" ca="1" si="11"/>
        <v>9.9644784086327007</v>
      </c>
      <c r="T133">
        <f t="shared" ca="1" si="12"/>
        <v>11.9187419596397</v>
      </c>
      <c r="V133">
        <f t="shared" ca="1" si="19"/>
        <v>10.25876639145214</v>
      </c>
      <c r="Y133">
        <f t="shared" si="20"/>
        <v>12.599999999999971</v>
      </c>
      <c r="Z133">
        <f t="shared" ca="1" si="21"/>
        <v>10.25876639145214</v>
      </c>
    </row>
    <row r="134" spans="6:26" x14ac:dyDescent="0.25">
      <c r="F134" s="3">
        <v>127</v>
      </c>
      <c r="G134" s="3">
        <v>595.10932475884204</v>
      </c>
      <c r="H134" s="3">
        <v>572.26045016077103</v>
      </c>
      <c r="I134" s="3">
        <v>38.948176878324098</v>
      </c>
      <c r="J134" s="3">
        <v>0.85213417561106597</v>
      </c>
      <c r="N134">
        <f t="shared" si="18"/>
        <v>12.699999999999971</v>
      </c>
      <c r="P134">
        <f t="shared" ca="1" si="22"/>
        <v>12.540465812868399</v>
      </c>
      <c r="Q134">
        <f t="shared" ca="1" si="17"/>
        <v>12.9358115243562</v>
      </c>
      <c r="S134">
        <f t="shared" ca="1" si="11"/>
        <v>9.9644784086327007</v>
      </c>
      <c r="T134">
        <f t="shared" ca="1" si="12"/>
        <v>11.9187419596397</v>
      </c>
      <c r="V134">
        <f t="shared" ca="1" si="19"/>
        <v>10.753084021369643</v>
      </c>
      <c r="Y134">
        <f t="shared" si="20"/>
        <v>12.699999999999971</v>
      </c>
      <c r="Z134">
        <f t="shared" ca="1" si="21"/>
        <v>10.753084021369643</v>
      </c>
    </row>
    <row r="135" spans="6:26" x14ac:dyDescent="0.25">
      <c r="F135" s="3">
        <v>128</v>
      </c>
      <c r="G135" s="3">
        <v>595.10932475884204</v>
      </c>
      <c r="H135" s="3">
        <v>585.76205787781305</v>
      </c>
      <c r="I135" s="3">
        <v>38.950672990149897</v>
      </c>
      <c r="J135" s="3">
        <v>0.233098442810238</v>
      </c>
      <c r="N135">
        <f t="shared" si="18"/>
        <v>12.799999999999971</v>
      </c>
      <c r="P135">
        <f t="shared" ca="1" si="22"/>
        <v>12.540465812868399</v>
      </c>
      <c r="Q135">
        <f t="shared" ca="1" si="17"/>
        <v>12.9358115243562</v>
      </c>
      <c r="S135">
        <f t="shared" ca="1" si="11"/>
        <v>9.9644784086327007</v>
      </c>
      <c r="T135">
        <f t="shared" ca="1" si="12"/>
        <v>11.9187419596397</v>
      </c>
      <c r="V135">
        <f t="shared" ca="1" si="19"/>
        <v>11.247401651287149</v>
      </c>
      <c r="Y135">
        <f t="shared" si="20"/>
        <v>12.799999999999971</v>
      </c>
      <c r="Z135">
        <f t="shared" ca="1" si="21"/>
        <v>11.247401651287149</v>
      </c>
    </row>
    <row r="136" spans="6:26" x14ac:dyDescent="0.25">
      <c r="F136" s="3">
        <v>129</v>
      </c>
      <c r="G136" s="3">
        <v>601.34083601286102</v>
      </c>
      <c r="H136" s="3">
        <v>573.29903536977395</v>
      </c>
      <c r="I136" s="3">
        <v>39.432230563929203</v>
      </c>
      <c r="J136" s="3">
        <v>0.80682014554252302</v>
      </c>
      <c r="N136">
        <f t="shared" si="18"/>
        <v>12.89999999999997</v>
      </c>
      <c r="P136">
        <f t="shared" ca="1" si="22"/>
        <v>12.540465812868399</v>
      </c>
      <c r="Q136">
        <f t="shared" ca="1" si="17"/>
        <v>12.9358115243562</v>
      </c>
      <c r="S136">
        <f t="shared" ref="S136:S199" ca="1" si="23">OFFSET($J$7,MATCH($N136,$I$7:$I$143,1)-1,0)</f>
        <v>9.9644784086327007</v>
      </c>
      <c r="T136">
        <f t="shared" ref="T136:T199" ca="1" si="24">OFFSET($J$7,MATCH($N136,$I$7:$I$143,1),0)</f>
        <v>11.9187419596397</v>
      </c>
      <c r="V136">
        <f t="shared" ca="1" si="19"/>
        <v>11.741719281204652</v>
      </c>
      <c r="Y136">
        <f t="shared" si="20"/>
        <v>12.89999999999997</v>
      </c>
      <c r="Z136">
        <f t="shared" ca="1" si="21"/>
        <v>11.741719281204652</v>
      </c>
    </row>
    <row r="137" spans="6:26" x14ac:dyDescent="0.25">
      <c r="F137" s="3">
        <v>130</v>
      </c>
      <c r="G137" s="3">
        <v>601.34083601286102</v>
      </c>
      <c r="H137" s="3">
        <v>587.839228295819</v>
      </c>
      <c r="I137" s="3">
        <v>39.434918684357001</v>
      </c>
      <c r="J137" s="3">
        <v>0.140166279449321</v>
      </c>
      <c r="N137">
        <f t="shared" si="18"/>
        <v>12.99999999999997</v>
      </c>
      <c r="P137">
        <f t="shared" ca="1" si="22"/>
        <v>12.9358115243562</v>
      </c>
      <c r="Q137">
        <f t="shared" ca="1" si="17"/>
        <v>13.345941898196999</v>
      </c>
      <c r="S137">
        <f t="shared" ca="1" si="23"/>
        <v>11.9187419596397</v>
      </c>
      <c r="T137">
        <f t="shared" ca="1" si="24"/>
        <v>10.2064092471342</v>
      </c>
      <c r="V137">
        <f t="shared" ca="1" si="19"/>
        <v>11.650749063670103</v>
      </c>
      <c r="Y137">
        <f t="shared" si="20"/>
        <v>12.99999999999997</v>
      </c>
      <c r="Z137">
        <f t="shared" ca="1" si="21"/>
        <v>11.650749063670103</v>
      </c>
    </row>
    <row r="138" spans="6:26" x14ac:dyDescent="0.25">
      <c r="F138" s="3">
        <v>131</v>
      </c>
      <c r="G138" s="3">
        <v>609.64951768488697</v>
      </c>
      <c r="H138" s="3">
        <v>585.76205787781305</v>
      </c>
      <c r="I138" s="3">
        <v>40.079683569823899</v>
      </c>
      <c r="J138" s="3">
        <v>0.238474683665828</v>
      </c>
      <c r="N138">
        <f t="shared" si="18"/>
        <v>13.099999999999969</v>
      </c>
      <c r="P138">
        <f t="shared" ca="1" si="22"/>
        <v>12.9358115243562</v>
      </c>
      <c r="Q138">
        <f t="shared" ca="1" si="17"/>
        <v>13.345941898196999</v>
      </c>
      <c r="S138">
        <f t="shared" ca="1" si="23"/>
        <v>11.9187419596397</v>
      </c>
      <c r="T138">
        <f t="shared" ca="1" si="24"/>
        <v>10.2064092471342</v>
      </c>
      <c r="V138">
        <f t="shared" ca="1" si="19"/>
        <v>11.233239700374282</v>
      </c>
      <c r="Y138">
        <f t="shared" si="20"/>
        <v>13.099999999999969</v>
      </c>
      <c r="Z138">
        <f t="shared" ca="1" si="21"/>
        <v>11.233239700374282</v>
      </c>
    </row>
    <row r="139" spans="6:26" x14ac:dyDescent="0.25">
      <c r="F139" s="3">
        <v>132</v>
      </c>
      <c r="G139" s="3">
        <v>615.88102893890596</v>
      </c>
      <c r="H139" s="3">
        <v>578.49196141479104</v>
      </c>
      <c r="I139" s="3">
        <v>40.562201186613102</v>
      </c>
      <c r="J139" s="3">
        <v>0.57410571993624804</v>
      </c>
      <c r="N139">
        <f t="shared" si="18"/>
        <v>13.199999999999969</v>
      </c>
      <c r="P139">
        <f t="shared" ca="1" si="22"/>
        <v>12.9358115243562</v>
      </c>
      <c r="Q139">
        <f t="shared" ref="Q139:Q202" ca="1" si="25">OFFSET($I$7,MATCH($N139,$I$7:$I$143,1),0)</f>
        <v>13.345941898196999</v>
      </c>
      <c r="S139">
        <f t="shared" ca="1" si="23"/>
        <v>11.9187419596397</v>
      </c>
      <c r="T139">
        <f t="shared" ca="1" si="24"/>
        <v>10.2064092471342</v>
      </c>
      <c r="V139">
        <f t="shared" ca="1" si="19"/>
        <v>10.81573033707846</v>
      </c>
      <c r="Y139">
        <f t="shared" si="20"/>
        <v>13.199999999999969</v>
      </c>
      <c r="Z139">
        <f t="shared" ca="1" si="21"/>
        <v>10.81573033707846</v>
      </c>
    </row>
    <row r="140" spans="6:26" x14ac:dyDescent="0.25">
      <c r="F140" s="3">
        <v>133</v>
      </c>
      <c r="G140" s="3">
        <v>626.26688102893797</v>
      </c>
      <c r="H140" s="3">
        <v>573.29903536977395</v>
      </c>
      <c r="I140" s="3">
        <v>41.367677271941702</v>
      </c>
      <c r="J140" s="3">
        <v>0.81603655843781897</v>
      </c>
      <c r="N140">
        <f t="shared" si="18"/>
        <v>13.299999999999969</v>
      </c>
      <c r="P140">
        <f t="shared" ca="1" si="22"/>
        <v>12.9358115243562</v>
      </c>
      <c r="Q140">
        <f t="shared" ca="1" si="25"/>
        <v>13.345941898196999</v>
      </c>
      <c r="S140">
        <f t="shared" ca="1" si="23"/>
        <v>11.9187419596397</v>
      </c>
      <c r="T140">
        <f t="shared" ca="1" si="24"/>
        <v>10.2064092471342</v>
      </c>
      <c r="V140">
        <f t="shared" ca="1" si="19"/>
        <v>10.398220973782637</v>
      </c>
      <c r="Y140">
        <f t="shared" si="20"/>
        <v>13.299999999999969</v>
      </c>
      <c r="Z140">
        <f t="shared" ca="1" si="21"/>
        <v>10.398220973782637</v>
      </c>
    </row>
    <row r="141" spans="6:26" x14ac:dyDescent="0.25">
      <c r="F141" s="3">
        <v>134</v>
      </c>
      <c r="G141" s="3">
        <v>626.26688102893797</v>
      </c>
      <c r="H141" s="3">
        <v>585.76205787781305</v>
      </c>
      <c r="I141" s="3">
        <v>41.369981375165601</v>
      </c>
      <c r="J141" s="3">
        <v>0.244618958929358</v>
      </c>
      <c r="N141">
        <f t="shared" si="18"/>
        <v>13.399999999999968</v>
      </c>
      <c r="P141">
        <f t="shared" ca="1" si="22"/>
        <v>13.345941898196999</v>
      </c>
      <c r="Q141">
        <f t="shared" ca="1" si="25"/>
        <v>13.661988057064899</v>
      </c>
      <c r="S141">
        <f t="shared" ca="1" si="23"/>
        <v>10.2064092471342</v>
      </c>
      <c r="T141">
        <f t="shared" ca="1" si="24"/>
        <v>11.826961847890701</v>
      </c>
      <c r="V141">
        <f t="shared" ca="1" si="19"/>
        <v>10.483596597812863</v>
      </c>
      <c r="Y141">
        <f t="shared" si="20"/>
        <v>13.399999999999968</v>
      </c>
      <c r="Z141">
        <f t="shared" ca="1" si="21"/>
        <v>10.483596597812863</v>
      </c>
    </row>
    <row r="142" spans="6:26" x14ac:dyDescent="0.25">
      <c r="F142" s="3">
        <v>135</v>
      </c>
      <c r="G142" s="3">
        <v>629.38263665594798</v>
      </c>
      <c r="H142" s="3">
        <v>564.99035369774901</v>
      </c>
      <c r="I142" s="3">
        <v>41.608072041627402</v>
      </c>
      <c r="J142" s="3">
        <v>1.1981336763887001</v>
      </c>
      <c r="N142">
        <f t="shared" si="18"/>
        <v>13.499999999999968</v>
      </c>
      <c r="P142">
        <f t="shared" ca="1" si="22"/>
        <v>13.345941898196999</v>
      </c>
      <c r="Q142">
        <f t="shared" ca="1" si="25"/>
        <v>13.661988057064899</v>
      </c>
      <c r="S142">
        <f t="shared" ca="1" si="23"/>
        <v>10.2064092471342</v>
      </c>
      <c r="T142">
        <f t="shared" ca="1" si="24"/>
        <v>11.826961847890701</v>
      </c>
      <c r="V142">
        <f t="shared" ca="1" si="19"/>
        <v>10.996354799513979</v>
      </c>
      <c r="Y142">
        <f t="shared" si="20"/>
        <v>13.499999999999968</v>
      </c>
      <c r="Z142">
        <f t="shared" ca="1" si="21"/>
        <v>10.996354799513979</v>
      </c>
    </row>
    <row r="143" spans="6:26" x14ac:dyDescent="0.25">
      <c r="F143" s="3">
        <v>136</v>
      </c>
      <c r="G143" s="3">
        <v>637.69131832797405</v>
      </c>
      <c r="H143" s="3">
        <v>585.76205787781305</v>
      </c>
      <c r="I143" s="3">
        <v>42.257061116338001</v>
      </c>
      <c r="J143" s="3">
        <v>0.24884314817303699</v>
      </c>
      <c r="N143">
        <f t="shared" si="18"/>
        <v>13.599999999999968</v>
      </c>
      <c r="P143">
        <f t="shared" ca="1" si="22"/>
        <v>13.345941898196999</v>
      </c>
      <c r="Q143">
        <f t="shared" ca="1" si="25"/>
        <v>13.661988057064899</v>
      </c>
      <c r="S143">
        <f t="shared" ca="1" si="23"/>
        <v>10.2064092471342</v>
      </c>
      <c r="T143">
        <f t="shared" ca="1" si="24"/>
        <v>11.826961847890701</v>
      </c>
      <c r="V143">
        <f t="shared" ca="1" si="19"/>
        <v>11.509113001215095</v>
      </c>
      <c r="Y143">
        <f t="shared" si="20"/>
        <v>13.599999999999968</v>
      </c>
      <c r="Z143">
        <f t="shared" ca="1" si="21"/>
        <v>11.509113001215095</v>
      </c>
    </row>
    <row r="144" spans="6:26" x14ac:dyDescent="0.25">
      <c r="N144">
        <f t="shared" si="18"/>
        <v>13.699999999999967</v>
      </c>
      <c r="P144">
        <f t="shared" ca="1" si="22"/>
        <v>13.661988057064899</v>
      </c>
      <c r="Q144">
        <f t="shared" ca="1" si="25"/>
        <v>13.9054549643824</v>
      </c>
      <c r="S144">
        <f t="shared" ca="1" si="23"/>
        <v>11.826961847890701</v>
      </c>
      <c r="T144">
        <f t="shared" ca="1" si="24"/>
        <v>11.447168833163699</v>
      </c>
      <c r="V144">
        <f t="shared" ca="1" si="19"/>
        <v>11.767665615141855</v>
      </c>
      <c r="Y144">
        <f t="shared" si="20"/>
        <v>13.699999999999967</v>
      </c>
      <c r="Z144">
        <f t="shared" ca="1" si="21"/>
        <v>11.767665615141855</v>
      </c>
    </row>
    <row r="145" spans="14:26" x14ac:dyDescent="0.25">
      <c r="N145">
        <f t="shared" ref="N145:N208" si="26">IF(N144&lt;$I$2,N144+(1/N$2),"")</f>
        <v>13.799999999999967</v>
      </c>
      <c r="P145">
        <f t="shared" ca="1" si="22"/>
        <v>13.661988057064899</v>
      </c>
      <c r="Q145">
        <f t="shared" ca="1" si="25"/>
        <v>13.9054549643824</v>
      </c>
      <c r="S145">
        <f t="shared" ca="1" si="23"/>
        <v>11.826961847890701</v>
      </c>
      <c r="T145">
        <f t="shared" ca="1" si="24"/>
        <v>11.447168833163699</v>
      </c>
      <c r="V145">
        <f t="shared" ref="V145:V208" ca="1" si="27">IFERROR(S145+(T145-S145)*((N145-P145)/(Q145-P145)),"")</f>
        <v>11.611671924290178</v>
      </c>
      <c r="Y145">
        <f t="shared" ref="Y145:Y208" si="28">IF(ISNUMBER(N145),N145,NA())</f>
        <v>13.799999999999967</v>
      </c>
      <c r="Z145">
        <f t="shared" ref="Z145:Z208" ca="1" si="29">IF(ISNUMBER(V145),V145,NA())</f>
        <v>11.611671924290178</v>
      </c>
    </row>
    <row r="146" spans="14:26" x14ac:dyDescent="0.25">
      <c r="N146">
        <f t="shared" si="26"/>
        <v>13.899999999999967</v>
      </c>
      <c r="P146">
        <f t="shared" ca="1" si="22"/>
        <v>13.661988057064899</v>
      </c>
      <c r="Q146">
        <f t="shared" ca="1" si="25"/>
        <v>13.9054549643824</v>
      </c>
      <c r="S146">
        <f t="shared" ca="1" si="23"/>
        <v>11.826961847890701</v>
      </c>
      <c r="T146">
        <f t="shared" ca="1" si="24"/>
        <v>11.447168833163699</v>
      </c>
      <c r="V146">
        <f t="shared" ca="1" si="27"/>
        <v>11.455678233438503</v>
      </c>
      <c r="Y146">
        <f t="shared" si="28"/>
        <v>13.899999999999967</v>
      </c>
      <c r="Z146">
        <f t="shared" ca="1" si="29"/>
        <v>11.455678233438503</v>
      </c>
    </row>
    <row r="147" spans="14:26" x14ac:dyDescent="0.25">
      <c r="N147">
        <f t="shared" si="26"/>
        <v>13.999999999999966</v>
      </c>
      <c r="P147">
        <f t="shared" ca="1" si="22"/>
        <v>13.9054549643824</v>
      </c>
      <c r="Q147">
        <f t="shared" ca="1" si="25"/>
        <v>14.151802000729599</v>
      </c>
      <c r="S147">
        <f t="shared" ca="1" si="23"/>
        <v>11.447168833163699</v>
      </c>
      <c r="T147">
        <f t="shared" ca="1" si="24"/>
        <v>10.353103819051</v>
      </c>
      <c r="V147">
        <f t="shared" ca="1" si="27"/>
        <v>11.027279812938456</v>
      </c>
      <c r="Y147">
        <f t="shared" si="28"/>
        <v>13.999999999999966</v>
      </c>
      <c r="Z147">
        <f t="shared" ca="1" si="29"/>
        <v>11.027279812938456</v>
      </c>
    </row>
    <row r="148" spans="14:26" x14ac:dyDescent="0.25">
      <c r="N148">
        <f t="shared" si="26"/>
        <v>14.099999999999966</v>
      </c>
      <c r="P148">
        <f t="shared" ca="1" si="22"/>
        <v>13.9054549643824</v>
      </c>
      <c r="Q148">
        <f t="shared" ca="1" si="25"/>
        <v>14.151802000729599</v>
      </c>
      <c r="S148">
        <f t="shared" ca="1" si="23"/>
        <v>11.447168833163699</v>
      </c>
      <c r="T148">
        <f t="shared" ca="1" si="24"/>
        <v>10.353103819051</v>
      </c>
      <c r="V148">
        <f t="shared" ca="1" si="27"/>
        <v>10.583164458300809</v>
      </c>
      <c r="Y148">
        <f t="shared" si="28"/>
        <v>14.099999999999966</v>
      </c>
      <c r="Z148">
        <f t="shared" ca="1" si="29"/>
        <v>10.583164458300809</v>
      </c>
    </row>
    <row r="149" spans="14:26" x14ac:dyDescent="0.25">
      <c r="N149">
        <f t="shared" si="26"/>
        <v>14.199999999999966</v>
      </c>
      <c r="P149">
        <f t="shared" ca="1" si="22"/>
        <v>14.151802000729599</v>
      </c>
      <c r="Q149">
        <f t="shared" ca="1" si="25"/>
        <v>14.3872045467636</v>
      </c>
      <c r="S149">
        <f t="shared" ca="1" si="23"/>
        <v>10.353103819051</v>
      </c>
      <c r="T149">
        <f t="shared" ca="1" si="24"/>
        <v>11.9732724026036</v>
      </c>
      <c r="V149">
        <f t="shared" ca="1" si="27"/>
        <v>10.684828711256113</v>
      </c>
      <c r="Y149">
        <f t="shared" si="28"/>
        <v>14.199999999999966</v>
      </c>
      <c r="Z149">
        <f t="shared" ca="1" si="29"/>
        <v>10.684828711256113</v>
      </c>
    </row>
    <row r="150" spans="14:26" x14ac:dyDescent="0.25">
      <c r="N150">
        <f t="shared" si="26"/>
        <v>14.299999999999965</v>
      </c>
      <c r="P150">
        <f t="shared" ca="1" si="22"/>
        <v>14.151802000729599</v>
      </c>
      <c r="Q150">
        <f t="shared" ca="1" si="25"/>
        <v>14.3872045467636</v>
      </c>
      <c r="S150">
        <f t="shared" ca="1" si="23"/>
        <v>10.353103819051</v>
      </c>
      <c r="T150">
        <f t="shared" ca="1" si="24"/>
        <v>11.9732724026036</v>
      </c>
      <c r="V150">
        <f t="shared" ca="1" si="27"/>
        <v>11.373083197390084</v>
      </c>
      <c r="Y150">
        <f t="shared" si="28"/>
        <v>14.299999999999965</v>
      </c>
      <c r="Z150">
        <f t="shared" ca="1" si="29"/>
        <v>11.373083197390084</v>
      </c>
    </row>
    <row r="151" spans="14:26" x14ac:dyDescent="0.25">
      <c r="N151">
        <f t="shared" si="26"/>
        <v>14.399999999999965</v>
      </c>
      <c r="P151">
        <f t="shared" ca="1" si="22"/>
        <v>14.3872045467636</v>
      </c>
      <c r="Q151">
        <f t="shared" ca="1" si="25"/>
        <v>14.801943127052001</v>
      </c>
      <c r="S151">
        <f t="shared" ca="1" si="23"/>
        <v>11.9732724026036</v>
      </c>
      <c r="T151">
        <f t="shared" ca="1" si="24"/>
        <v>9.1181044910811995</v>
      </c>
      <c r="V151">
        <f t="shared" ca="1" si="27"/>
        <v>11.88518518518474</v>
      </c>
      <c r="Y151">
        <f t="shared" si="28"/>
        <v>14.399999999999965</v>
      </c>
      <c r="Z151">
        <f t="shared" ca="1" si="29"/>
        <v>11.88518518518474</v>
      </c>
    </row>
    <row r="152" spans="14:26" x14ac:dyDescent="0.25">
      <c r="N152">
        <f t="shared" si="26"/>
        <v>14.499999999999964</v>
      </c>
      <c r="P152">
        <f t="shared" ca="1" si="22"/>
        <v>14.3872045467636</v>
      </c>
      <c r="Q152">
        <f t="shared" ca="1" si="25"/>
        <v>14.801943127052001</v>
      </c>
      <c r="S152">
        <f t="shared" ca="1" si="23"/>
        <v>11.9732724026036</v>
      </c>
      <c r="T152">
        <f t="shared" ca="1" si="24"/>
        <v>9.1181044910811995</v>
      </c>
      <c r="V152">
        <f t="shared" ca="1" si="27"/>
        <v>11.196759259258831</v>
      </c>
      <c r="Y152">
        <f t="shared" si="28"/>
        <v>14.499999999999964</v>
      </c>
      <c r="Z152">
        <f t="shared" ca="1" si="29"/>
        <v>11.196759259258831</v>
      </c>
    </row>
    <row r="153" spans="14:26" x14ac:dyDescent="0.25">
      <c r="N153">
        <f t="shared" si="26"/>
        <v>14.599999999999964</v>
      </c>
      <c r="P153">
        <f t="shared" ca="1" si="22"/>
        <v>14.3872045467636</v>
      </c>
      <c r="Q153">
        <f t="shared" ca="1" si="25"/>
        <v>14.801943127052001</v>
      </c>
      <c r="S153">
        <f t="shared" ca="1" si="23"/>
        <v>11.9732724026036</v>
      </c>
      <c r="T153">
        <f t="shared" ca="1" si="24"/>
        <v>9.1181044910811995</v>
      </c>
      <c r="V153">
        <f t="shared" ca="1" si="27"/>
        <v>10.508333333332921</v>
      </c>
      <c r="Y153">
        <f t="shared" si="28"/>
        <v>14.599999999999964</v>
      </c>
      <c r="Z153">
        <f t="shared" ca="1" si="29"/>
        <v>10.508333333332921</v>
      </c>
    </row>
    <row r="154" spans="14:26" x14ac:dyDescent="0.25">
      <c r="N154">
        <f t="shared" si="26"/>
        <v>14.699999999999964</v>
      </c>
      <c r="P154">
        <f t="shared" ca="1" si="22"/>
        <v>14.3872045467636</v>
      </c>
      <c r="Q154">
        <f t="shared" ca="1" si="25"/>
        <v>14.801943127052001</v>
      </c>
      <c r="S154">
        <f t="shared" ca="1" si="23"/>
        <v>11.9732724026036</v>
      </c>
      <c r="T154">
        <f t="shared" ca="1" si="24"/>
        <v>9.1181044910811995</v>
      </c>
      <c r="V154">
        <f t="shared" ca="1" si="27"/>
        <v>9.8199074074070118</v>
      </c>
      <c r="Y154">
        <f t="shared" si="28"/>
        <v>14.699999999999964</v>
      </c>
      <c r="Z154">
        <f t="shared" ca="1" si="29"/>
        <v>9.8199074074070118</v>
      </c>
    </row>
    <row r="155" spans="14:26" x14ac:dyDescent="0.25">
      <c r="N155">
        <f t="shared" si="26"/>
        <v>14.799999999999963</v>
      </c>
      <c r="P155">
        <f t="shared" ca="1" si="22"/>
        <v>14.3872045467636</v>
      </c>
      <c r="Q155">
        <f t="shared" ca="1" si="25"/>
        <v>14.801943127052001</v>
      </c>
      <c r="S155">
        <f t="shared" ca="1" si="23"/>
        <v>11.9732724026036</v>
      </c>
      <c r="T155">
        <f t="shared" ca="1" si="24"/>
        <v>9.1181044910811995</v>
      </c>
      <c r="V155">
        <f t="shared" ca="1" si="27"/>
        <v>9.1314814814811029</v>
      </c>
      <c r="Y155">
        <f t="shared" si="28"/>
        <v>14.799999999999963</v>
      </c>
      <c r="Z155">
        <f t="shared" ca="1" si="29"/>
        <v>9.1314814814811029</v>
      </c>
    </row>
    <row r="156" spans="14:26" x14ac:dyDescent="0.25">
      <c r="N156">
        <f t="shared" si="26"/>
        <v>14.899999999999963</v>
      </c>
      <c r="P156">
        <f t="shared" ca="1" si="22"/>
        <v>14.801943127052001</v>
      </c>
      <c r="Q156">
        <f t="shared" ca="1" si="25"/>
        <v>15.4390276684395</v>
      </c>
      <c r="S156">
        <f t="shared" ca="1" si="23"/>
        <v>9.1181044910811995</v>
      </c>
      <c r="T156">
        <f t="shared" ca="1" si="24"/>
        <v>11.1211382269925</v>
      </c>
      <c r="V156">
        <f t="shared" ca="1" si="27"/>
        <v>9.426401446654749</v>
      </c>
      <c r="Y156">
        <f t="shared" si="28"/>
        <v>14.899999999999963</v>
      </c>
      <c r="Z156">
        <f t="shared" ca="1" si="29"/>
        <v>9.426401446654749</v>
      </c>
    </row>
    <row r="157" spans="14:26" x14ac:dyDescent="0.25">
      <c r="N157">
        <f t="shared" si="26"/>
        <v>14.999999999999963</v>
      </c>
      <c r="P157">
        <f t="shared" ca="1" si="22"/>
        <v>14.801943127052001</v>
      </c>
      <c r="Q157">
        <f t="shared" ca="1" si="25"/>
        <v>15.4390276684395</v>
      </c>
      <c r="S157">
        <f t="shared" ca="1" si="23"/>
        <v>9.1181044910811995</v>
      </c>
      <c r="T157">
        <f t="shared" ca="1" si="24"/>
        <v>11.1211382269925</v>
      </c>
      <c r="V157">
        <f t="shared" ca="1" si="27"/>
        <v>9.7408077154913624</v>
      </c>
      <c r="Y157">
        <f t="shared" si="28"/>
        <v>14.999999999999963</v>
      </c>
      <c r="Z157">
        <f t="shared" ca="1" si="29"/>
        <v>9.7408077154913624</v>
      </c>
    </row>
    <row r="158" spans="14:26" x14ac:dyDescent="0.25">
      <c r="N158">
        <f t="shared" si="26"/>
        <v>15.099999999999962</v>
      </c>
      <c r="P158">
        <f t="shared" ref="P158:P221" ca="1" si="30">OFFSET($I$7,MATCH($N158,$I$7:$I$143,1)-1,0)</f>
        <v>14.801943127052001</v>
      </c>
      <c r="Q158">
        <f t="shared" ca="1" si="25"/>
        <v>15.4390276684395</v>
      </c>
      <c r="S158">
        <f t="shared" ca="1" si="23"/>
        <v>9.1181044910811995</v>
      </c>
      <c r="T158">
        <f t="shared" ca="1" si="24"/>
        <v>11.1211382269925</v>
      </c>
      <c r="V158">
        <f t="shared" ca="1" si="27"/>
        <v>10.055213984327978</v>
      </c>
      <c r="Y158">
        <f t="shared" si="28"/>
        <v>15.099999999999962</v>
      </c>
      <c r="Z158">
        <f t="shared" ca="1" si="29"/>
        <v>10.055213984327978</v>
      </c>
    </row>
    <row r="159" spans="14:26" x14ac:dyDescent="0.25">
      <c r="N159">
        <f t="shared" si="26"/>
        <v>15.199999999999962</v>
      </c>
      <c r="P159">
        <f t="shared" ca="1" si="30"/>
        <v>14.801943127052001</v>
      </c>
      <c r="Q159">
        <f t="shared" ca="1" si="25"/>
        <v>15.4390276684395</v>
      </c>
      <c r="S159">
        <f t="shared" ca="1" si="23"/>
        <v>9.1181044910811995</v>
      </c>
      <c r="T159">
        <f t="shared" ca="1" si="24"/>
        <v>11.1211382269925</v>
      </c>
      <c r="V159">
        <f t="shared" ca="1" si="27"/>
        <v>10.369620253164591</v>
      </c>
      <c r="Y159">
        <f t="shared" si="28"/>
        <v>15.199999999999962</v>
      </c>
      <c r="Z159">
        <f t="shared" ca="1" si="29"/>
        <v>10.369620253164591</v>
      </c>
    </row>
    <row r="160" spans="14:26" x14ac:dyDescent="0.25">
      <c r="N160">
        <f t="shared" si="26"/>
        <v>15.299999999999962</v>
      </c>
      <c r="P160">
        <f t="shared" ca="1" si="30"/>
        <v>14.801943127052001</v>
      </c>
      <c r="Q160">
        <f t="shared" ca="1" si="25"/>
        <v>15.4390276684395</v>
      </c>
      <c r="S160">
        <f t="shared" ca="1" si="23"/>
        <v>9.1181044910811995</v>
      </c>
      <c r="T160">
        <f t="shared" ca="1" si="24"/>
        <v>11.1211382269925</v>
      </c>
      <c r="V160">
        <f t="shared" ca="1" si="27"/>
        <v>10.684026522001204</v>
      </c>
      <c r="Y160">
        <f t="shared" si="28"/>
        <v>15.299999999999962</v>
      </c>
      <c r="Z160">
        <f t="shared" ca="1" si="29"/>
        <v>10.684026522001204</v>
      </c>
    </row>
    <row r="161" spans="14:26" x14ac:dyDescent="0.25">
      <c r="N161">
        <f t="shared" si="26"/>
        <v>15.399999999999961</v>
      </c>
      <c r="P161">
        <f t="shared" ca="1" si="30"/>
        <v>14.801943127052001</v>
      </c>
      <c r="Q161">
        <f t="shared" ca="1" si="25"/>
        <v>15.4390276684395</v>
      </c>
      <c r="S161">
        <f t="shared" ca="1" si="23"/>
        <v>9.1181044910811995</v>
      </c>
      <c r="T161">
        <f t="shared" ca="1" si="24"/>
        <v>11.1211382269925</v>
      </c>
      <c r="V161">
        <f t="shared" ca="1" si="27"/>
        <v>10.998432790837819</v>
      </c>
      <c r="Y161">
        <f t="shared" si="28"/>
        <v>15.399999999999961</v>
      </c>
      <c r="Z161">
        <f t="shared" ca="1" si="29"/>
        <v>10.998432790837819</v>
      </c>
    </row>
    <row r="162" spans="14:26" x14ac:dyDescent="0.25">
      <c r="N162">
        <f t="shared" si="26"/>
        <v>15.499999999999961</v>
      </c>
      <c r="P162">
        <f t="shared" ca="1" si="30"/>
        <v>15.446131986713</v>
      </c>
      <c r="Q162">
        <f t="shared" ca="1" si="25"/>
        <v>15.767170369232501</v>
      </c>
      <c r="S162">
        <f t="shared" ca="1" si="23"/>
        <v>9.3592672951748206</v>
      </c>
      <c r="T162">
        <f t="shared" ca="1" si="24"/>
        <v>9.74174843032967</v>
      </c>
      <c r="V162">
        <f t="shared" ca="1" si="27"/>
        <v>9.4234449760765173</v>
      </c>
      <c r="Y162">
        <f t="shared" si="28"/>
        <v>15.499999999999961</v>
      </c>
      <c r="Z162">
        <f t="shared" ca="1" si="29"/>
        <v>9.4234449760765173</v>
      </c>
    </row>
    <row r="163" spans="14:26" x14ac:dyDescent="0.25">
      <c r="N163">
        <f t="shared" si="26"/>
        <v>15.599999999999961</v>
      </c>
      <c r="P163">
        <f t="shared" ca="1" si="30"/>
        <v>15.446131986713</v>
      </c>
      <c r="Q163">
        <f t="shared" ca="1" si="25"/>
        <v>15.767170369232501</v>
      </c>
      <c r="S163">
        <f t="shared" ca="1" si="23"/>
        <v>9.3592672951748206</v>
      </c>
      <c r="T163">
        <f t="shared" ca="1" si="24"/>
        <v>9.74174843032967</v>
      </c>
      <c r="V163">
        <f t="shared" ca="1" si="27"/>
        <v>9.5425837320573894</v>
      </c>
      <c r="Y163">
        <f t="shared" si="28"/>
        <v>15.599999999999961</v>
      </c>
      <c r="Z163">
        <f t="shared" ca="1" si="29"/>
        <v>9.5425837320573894</v>
      </c>
    </row>
    <row r="164" spans="14:26" x14ac:dyDescent="0.25">
      <c r="N164">
        <f t="shared" si="26"/>
        <v>15.69999999999996</v>
      </c>
      <c r="P164">
        <f t="shared" ca="1" si="30"/>
        <v>15.446131986713</v>
      </c>
      <c r="Q164">
        <f t="shared" ca="1" si="25"/>
        <v>15.767170369232501</v>
      </c>
      <c r="S164">
        <f t="shared" ca="1" si="23"/>
        <v>9.3592672951748206</v>
      </c>
      <c r="T164">
        <f t="shared" ca="1" si="24"/>
        <v>9.74174843032967</v>
      </c>
      <c r="V164">
        <f t="shared" ca="1" si="27"/>
        <v>9.6617224880382615</v>
      </c>
      <c r="Y164">
        <f t="shared" si="28"/>
        <v>15.69999999999996</v>
      </c>
      <c r="Z164">
        <f t="shared" ca="1" si="29"/>
        <v>9.6617224880382615</v>
      </c>
    </row>
    <row r="165" spans="14:26" x14ac:dyDescent="0.25">
      <c r="N165">
        <f t="shared" si="26"/>
        <v>15.79999999999996</v>
      </c>
      <c r="P165">
        <f t="shared" ca="1" si="30"/>
        <v>15.772162592884101</v>
      </c>
      <c r="Q165">
        <f t="shared" ca="1" si="25"/>
        <v>16.248727943011801</v>
      </c>
      <c r="S165">
        <f t="shared" ca="1" si="23"/>
        <v>8.5036769647280206</v>
      </c>
      <c r="T165">
        <f t="shared" ca="1" si="24"/>
        <v>10.315470133061901</v>
      </c>
      <c r="V165">
        <f t="shared" ca="1" si="27"/>
        <v>8.6095084609186845</v>
      </c>
      <c r="Y165">
        <f t="shared" si="28"/>
        <v>15.79999999999996</v>
      </c>
      <c r="Z165">
        <f t="shared" ca="1" si="29"/>
        <v>8.6095084609186845</v>
      </c>
    </row>
    <row r="166" spans="14:26" x14ac:dyDescent="0.25">
      <c r="N166">
        <f t="shared" si="26"/>
        <v>15.899999999999959</v>
      </c>
      <c r="P166">
        <f t="shared" ca="1" si="30"/>
        <v>15.772162592884101</v>
      </c>
      <c r="Q166">
        <f t="shared" ca="1" si="25"/>
        <v>16.248727943011801</v>
      </c>
      <c r="S166">
        <f t="shared" ca="1" si="23"/>
        <v>8.5036769647280206</v>
      </c>
      <c r="T166">
        <f t="shared" ca="1" si="24"/>
        <v>10.315470133061901</v>
      </c>
      <c r="V166">
        <f t="shared" ca="1" si="27"/>
        <v>8.9896857373086672</v>
      </c>
      <c r="Y166">
        <f t="shared" si="28"/>
        <v>15.899999999999959</v>
      </c>
      <c r="Z166">
        <f t="shared" ca="1" si="29"/>
        <v>8.9896857373086672</v>
      </c>
    </row>
    <row r="167" spans="14:26" x14ac:dyDescent="0.25">
      <c r="N167">
        <f t="shared" si="26"/>
        <v>15.999999999999959</v>
      </c>
      <c r="P167">
        <f t="shared" ca="1" si="30"/>
        <v>15.772162592884101</v>
      </c>
      <c r="Q167">
        <f t="shared" ca="1" si="25"/>
        <v>16.248727943011801</v>
      </c>
      <c r="S167">
        <f t="shared" ca="1" si="23"/>
        <v>8.5036769647280206</v>
      </c>
      <c r="T167">
        <f t="shared" ca="1" si="24"/>
        <v>10.315470133061901</v>
      </c>
      <c r="V167">
        <f t="shared" ca="1" si="27"/>
        <v>9.3698630136986498</v>
      </c>
      <c r="Y167">
        <f t="shared" si="28"/>
        <v>15.999999999999959</v>
      </c>
      <c r="Z167">
        <f t="shared" ca="1" si="29"/>
        <v>9.3698630136986498</v>
      </c>
    </row>
    <row r="168" spans="14:26" x14ac:dyDescent="0.25">
      <c r="N168">
        <f t="shared" si="26"/>
        <v>16.099999999999959</v>
      </c>
      <c r="P168">
        <f t="shared" ca="1" si="30"/>
        <v>15.772162592884101</v>
      </c>
      <c r="Q168">
        <f t="shared" ca="1" si="25"/>
        <v>16.248727943011801</v>
      </c>
      <c r="S168">
        <f t="shared" ca="1" si="23"/>
        <v>8.5036769647280206</v>
      </c>
      <c r="T168">
        <f t="shared" ca="1" si="24"/>
        <v>10.315470133061901</v>
      </c>
      <c r="V168">
        <f t="shared" ca="1" si="27"/>
        <v>9.7500402900886325</v>
      </c>
      <c r="Y168">
        <f t="shared" si="28"/>
        <v>16.099999999999959</v>
      </c>
      <c r="Z168">
        <f t="shared" ca="1" si="29"/>
        <v>9.7500402900886325</v>
      </c>
    </row>
    <row r="169" spans="14:26" x14ac:dyDescent="0.25">
      <c r="N169">
        <f t="shared" si="26"/>
        <v>16.19999999999996</v>
      </c>
      <c r="P169">
        <f t="shared" ca="1" si="30"/>
        <v>15.772162592884101</v>
      </c>
      <c r="Q169">
        <f t="shared" ca="1" si="25"/>
        <v>16.248727943011801</v>
      </c>
      <c r="S169">
        <f t="shared" ca="1" si="23"/>
        <v>8.5036769647280206</v>
      </c>
      <c r="T169">
        <f t="shared" ca="1" si="24"/>
        <v>10.315470133061901</v>
      </c>
      <c r="V169">
        <f t="shared" ca="1" si="27"/>
        <v>10.130217566478622</v>
      </c>
      <c r="Y169">
        <f t="shared" si="28"/>
        <v>16.19999999999996</v>
      </c>
      <c r="Z169">
        <f t="shared" ca="1" si="29"/>
        <v>10.130217566478622</v>
      </c>
    </row>
    <row r="170" spans="14:26" x14ac:dyDescent="0.25">
      <c r="N170">
        <f t="shared" si="26"/>
        <v>16.299999999999962</v>
      </c>
      <c r="P170">
        <f t="shared" ca="1" si="30"/>
        <v>16.264088631170601</v>
      </c>
      <c r="Q170">
        <f t="shared" ca="1" si="25"/>
        <v>16.817649430694399</v>
      </c>
      <c r="S170">
        <f t="shared" ca="1" si="23"/>
        <v>6.50601946967224</v>
      </c>
      <c r="T170">
        <f t="shared" ca="1" si="24"/>
        <v>9.2229411877652101</v>
      </c>
      <c r="V170">
        <f t="shared" ca="1" si="27"/>
        <v>6.6822754075617539</v>
      </c>
      <c r="Y170">
        <f t="shared" si="28"/>
        <v>16.299999999999962</v>
      </c>
      <c r="Z170">
        <f t="shared" ca="1" si="29"/>
        <v>6.6822754075617539</v>
      </c>
    </row>
    <row r="171" spans="14:26" x14ac:dyDescent="0.25">
      <c r="N171">
        <f t="shared" si="26"/>
        <v>16.399999999999963</v>
      </c>
      <c r="P171">
        <f t="shared" ca="1" si="30"/>
        <v>16.264088631170601</v>
      </c>
      <c r="Q171">
        <f t="shared" ca="1" si="25"/>
        <v>16.817649430694399</v>
      </c>
      <c r="S171">
        <f t="shared" ca="1" si="23"/>
        <v>6.50601946967224</v>
      </c>
      <c r="T171">
        <f t="shared" ca="1" si="24"/>
        <v>9.2229411877652101</v>
      </c>
      <c r="V171">
        <f t="shared" ca="1" si="27"/>
        <v>7.1730835934792267</v>
      </c>
      <c r="Y171">
        <f t="shared" si="28"/>
        <v>16.399999999999963</v>
      </c>
      <c r="Z171">
        <f t="shared" ca="1" si="29"/>
        <v>7.1730835934792267</v>
      </c>
    </row>
    <row r="172" spans="14:26" x14ac:dyDescent="0.25">
      <c r="N172">
        <f t="shared" si="26"/>
        <v>16.499999999999964</v>
      </c>
      <c r="P172">
        <f t="shared" ca="1" si="30"/>
        <v>16.264088631170601</v>
      </c>
      <c r="Q172">
        <f t="shared" ca="1" si="25"/>
        <v>16.817649430694399</v>
      </c>
      <c r="S172">
        <f t="shared" ca="1" si="23"/>
        <v>6.50601946967224</v>
      </c>
      <c r="T172">
        <f t="shared" ca="1" si="24"/>
        <v>9.2229411877652101</v>
      </c>
      <c r="V172">
        <f t="shared" ca="1" si="27"/>
        <v>7.6638917793966996</v>
      </c>
      <c r="Y172">
        <f t="shared" si="28"/>
        <v>16.499999999999964</v>
      </c>
      <c r="Z172">
        <f t="shared" ca="1" si="29"/>
        <v>7.6638917793966996</v>
      </c>
    </row>
    <row r="173" spans="14:26" x14ac:dyDescent="0.25">
      <c r="N173">
        <f t="shared" si="26"/>
        <v>16.599999999999966</v>
      </c>
      <c r="P173">
        <f t="shared" ca="1" si="30"/>
        <v>16.264088631170601</v>
      </c>
      <c r="Q173">
        <f t="shared" ca="1" si="25"/>
        <v>16.817649430694399</v>
      </c>
      <c r="S173">
        <f t="shared" ca="1" si="23"/>
        <v>6.50601946967224</v>
      </c>
      <c r="T173">
        <f t="shared" ca="1" si="24"/>
        <v>9.2229411877652101</v>
      </c>
      <c r="V173">
        <f t="shared" ca="1" si="27"/>
        <v>8.1546999653141725</v>
      </c>
      <c r="Y173">
        <f t="shared" si="28"/>
        <v>16.599999999999966</v>
      </c>
      <c r="Z173">
        <f t="shared" ca="1" si="29"/>
        <v>8.1546999653141725</v>
      </c>
    </row>
    <row r="174" spans="14:26" x14ac:dyDescent="0.25">
      <c r="N174">
        <f t="shared" si="26"/>
        <v>16.699999999999967</v>
      </c>
      <c r="P174">
        <f t="shared" ca="1" si="30"/>
        <v>16.264088631170601</v>
      </c>
      <c r="Q174">
        <f t="shared" ca="1" si="25"/>
        <v>16.817649430694399</v>
      </c>
      <c r="S174">
        <f t="shared" ca="1" si="23"/>
        <v>6.50601946967224</v>
      </c>
      <c r="T174">
        <f t="shared" ca="1" si="24"/>
        <v>9.2229411877652101</v>
      </c>
      <c r="V174">
        <f t="shared" ca="1" si="27"/>
        <v>8.6455081512316454</v>
      </c>
      <c r="Y174">
        <f t="shared" si="28"/>
        <v>16.699999999999967</v>
      </c>
      <c r="Z174">
        <f t="shared" ca="1" si="29"/>
        <v>8.6455081512316454</v>
      </c>
    </row>
    <row r="175" spans="14:26" x14ac:dyDescent="0.25">
      <c r="N175">
        <f t="shared" si="26"/>
        <v>16.799999999999969</v>
      </c>
      <c r="P175">
        <f t="shared" ca="1" si="30"/>
        <v>16.264088631170601</v>
      </c>
      <c r="Q175">
        <f t="shared" ca="1" si="25"/>
        <v>16.817649430694399</v>
      </c>
      <c r="S175">
        <f t="shared" ca="1" si="23"/>
        <v>6.50601946967224</v>
      </c>
      <c r="T175">
        <f t="shared" ca="1" si="24"/>
        <v>9.2229411877652101</v>
      </c>
      <c r="V175">
        <f t="shared" ca="1" si="27"/>
        <v>9.1363163371491183</v>
      </c>
      <c r="Y175">
        <f t="shared" si="28"/>
        <v>16.799999999999969</v>
      </c>
      <c r="Z175">
        <f t="shared" ca="1" si="29"/>
        <v>9.1363163371491183</v>
      </c>
    </row>
    <row r="176" spans="14:26" x14ac:dyDescent="0.25">
      <c r="N176">
        <f t="shared" si="26"/>
        <v>16.89999999999997</v>
      </c>
      <c r="P176">
        <f t="shared" ca="1" si="30"/>
        <v>16.817649430694399</v>
      </c>
      <c r="Q176">
        <f t="shared" ca="1" si="25"/>
        <v>16.983160845605799</v>
      </c>
      <c r="S176">
        <f t="shared" ca="1" si="23"/>
        <v>9.2229411877652101</v>
      </c>
      <c r="T176">
        <f t="shared" ca="1" si="24"/>
        <v>8.1761102897409792</v>
      </c>
      <c r="V176">
        <f t="shared" ca="1" si="27"/>
        <v>8.7020881670529793</v>
      </c>
      <c r="Y176">
        <f t="shared" si="28"/>
        <v>16.89999999999997</v>
      </c>
      <c r="Z176">
        <f t="shared" ca="1" si="29"/>
        <v>8.7020881670529793</v>
      </c>
    </row>
    <row r="177" spans="14:26" x14ac:dyDescent="0.25">
      <c r="N177">
        <f t="shared" si="26"/>
        <v>16.999999999999972</v>
      </c>
      <c r="P177">
        <f t="shared" ca="1" si="30"/>
        <v>16.983160845605799</v>
      </c>
      <c r="Q177">
        <f t="shared" ca="1" si="25"/>
        <v>17.228355830341201</v>
      </c>
      <c r="S177">
        <f t="shared" ca="1" si="23"/>
        <v>8.1761102897409792</v>
      </c>
      <c r="T177">
        <f t="shared" ca="1" si="24"/>
        <v>7.3677540753825701</v>
      </c>
      <c r="V177">
        <f t="shared" ca="1" si="27"/>
        <v>8.1205951448706237</v>
      </c>
      <c r="Y177">
        <f t="shared" si="28"/>
        <v>16.999999999999972</v>
      </c>
      <c r="Z177">
        <f t="shared" ca="1" si="29"/>
        <v>8.1205951448706237</v>
      </c>
    </row>
    <row r="178" spans="14:26" x14ac:dyDescent="0.25">
      <c r="N178">
        <f t="shared" si="26"/>
        <v>17.099999999999973</v>
      </c>
      <c r="P178">
        <f t="shared" ca="1" si="30"/>
        <v>16.983160845605799</v>
      </c>
      <c r="Q178">
        <f t="shared" ca="1" si="25"/>
        <v>17.228355830341201</v>
      </c>
      <c r="S178">
        <f t="shared" ca="1" si="23"/>
        <v>8.1761102897409792</v>
      </c>
      <c r="T178">
        <f t="shared" ca="1" si="24"/>
        <v>7.3677540753825701</v>
      </c>
      <c r="V178">
        <f t="shared" ca="1" si="27"/>
        <v>7.7909162098668165</v>
      </c>
      <c r="Y178">
        <f t="shared" si="28"/>
        <v>17.099999999999973</v>
      </c>
      <c r="Z178">
        <f t="shared" ca="1" si="29"/>
        <v>7.7909162098668165</v>
      </c>
    </row>
    <row r="179" spans="14:26" x14ac:dyDescent="0.25">
      <c r="N179">
        <f t="shared" si="26"/>
        <v>17.199999999999974</v>
      </c>
      <c r="P179">
        <f t="shared" ca="1" si="30"/>
        <v>16.983160845605799</v>
      </c>
      <c r="Q179">
        <f t="shared" ca="1" si="25"/>
        <v>17.228355830341201</v>
      </c>
      <c r="S179">
        <f t="shared" ca="1" si="23"/>
        <v>8.1761102897409792</v>
      </c>
      <c r="T179">
        <f t="shared" ca="1" si="24"/>
        <v>7.3677540753825701</v>
      </c>
      <c r="V179">
        <f t="shared" ca="1" si="27"/>
        <v>7.4612372748630102</v>
      </c>
      <c r="Y179">
        <f t="shared" si="28"/>
        <v>17.199999999999974</v>
      </c>
      <c r="Z179">
        <f t="shared" ca="1" si="29"/>
        <v>7.4612372748630102</v>
      </c>
    </row>
    <row r="180" spans="14:26" x14ac:dyDescent="0.25">
      <c r="N180">
        <f t="shared" si="26"/>
        <v>17.299999999999976</v>
      </c>
      <c r="P180">
        <f t="shared" ca="1" si="30"/>
        <v>17.228355830341201</v>
      </c>
      <c r="Q180">
        <f t="shared" ca="1" si="25"/>
        <v>17.3854188667652</v>
      </c>
      <c r="S180">
        <f t="shared" ca="1" si="23"/>
        <v>7.3677540753825701</v>
      </c>
      <c r="T180">
        <f t="shared" ca="1" si="24"/>
        <v>8.4161210422226898</v>
      </c>
      <c r="V180">
        <f t="shared" ca="1" si="27"/>
        <v>7.8459657701710732</v>
      </c>
      <c r="Y180">
        <f t="shared" si="28"/>
        <v>17.299999999999976</v>
      </c>
      <c r="Z180">
        <f t="shared" ca="1" si="29"/>
        <v>7.8459657701710732</v>
      </c>
    </row>
    <row r="181" spans="14:26" x14ac:dyDescent="0.25">
      <c r="N181">
        <f t="shared" si="26"/>
        <v>17.399999999999977</v>
      </c>
      <c r="P181">
        <f t="shared" ca="1" si="30"/>
        <v>17.3854188667652</v>
      </c>
      <c r="Q181">
        <f t="shared" ca="1" si="25"/>
        <v>17.635030049346199</v>
      </c>
      <c r="S181">
        <f t="shared" ca="1" si="23"/>
        <v>8.4161210422226898</v>
      </c>
      <c r="T181">
        <f t="shared" ca="1" si="24"/>
        <v>6.5125477621397403</v>
      </c>
      <c r="V181">
        <f t="shared" ca="1" si="27"/>
        <v>8.3049230769230178</v>
      </c>
      <c r="Y181">
        <f t="shared" si="28"/>
        <v>17.399999999999977</v>
      </c>
      <c r="Z181">
        <f t="shared" ca="1" si="29"/>
        <v>8.3049230769230178</v>
      </c>
    </row>
    <row r="182" spans="14:26" x14ac:dyDescent="0.25">
      <c r="N182">
        <f t="shared" si="26"/>
        <v>17.499999999999979</v>
      </c>
      <c r="P182">
        <f t="shared" ca="1" si="30"/>
        <v>17.3854188667652</v>
      </c>
      <c r="Q182">
        <f t="shared" ca="1" si="25"/>
        <v>17.635030049346199</v>
      </c>
      <c r="S182">
        <f t="shared" ca="1" si="23"/>
        <v>8.4161210422226898</v>
      </c>
      <c r="T182">
        <f t="shared" ca="1" si="24"/>
        <v>6.5125477621397403</v>
      </c>
      <c r="V182">
        <f t="shared" ca="1" si="27"/>
        <v>7.5423076923076806</v>
      </c>
      <c r="Y182">
        <f t="shared" si="28"/>
        <v>17.499999999999979</v>
      </c>
      <c r="Z182">
        <f t="shared" ca="1" si="29"/>
        <v>7.5423076923076806</v>
      </c>
    </row>
    <row r="183" spans="14:26" x14ac:dyDescent="0.25">
      <c r="N183">
        <f t="shared" si="26"/>
        <v>17.59999999999998</v>
      </c>
      <c r="P183">
        <f t="shared" ca="1" si="30"/>
        <v>17.3854188667652</v>
      </c>
      <c r="Q183">
        <f t="shared" ca="1" si="25"/>
        <v>17.635030049346199</v>
      </c>
      <c r="S183">
        <f t="shared" ca="1" si="23"/>
        <v>8.4161210422226898</v>
      </c>
      <c r="T183">
        <f t="shared" ca="1" si="24"/>
        <v>6.5125477621397403</v>
      </c>
      <c r="V183">
        <f t="shared" ca="1" si="27"/>
        <v>6.7796923076923434</v>
      </c>
      <c r="Y183">
        <f t="shared" si="28"/>
        <v>17.59999999999998</v>
      </c>
      <c r="Z183">
        <f t="shared" ca="1" si="29"/>
        <v>6.7796923076923434</v>
      </c>
    </row>
    <row r="184" spans="14:26" x14ac:dyDescent="0.25">
      <c r="N184">
        <f t="shared" si="26"/>
        <v>17.699999999999982</v>
      </c>
      <c r="P184">
        <f t="shared" ca="1" si="30"/>
        <v>17.635030049346199</v>
      </c>
      <c r="Q184">
        <f t="shared" ca="1" si="25"/>
        <v>17.9535723200399</v>
      </c>
      <c r="S184">
        <f t="shared" ca="1" si="23"/>
        <v>6.5125477621397403</v>
      </c>
      <c r="T184">
        <f t="shared" ca="1" si="24"/>
        <v>7.5140646300954197</v>
      </c>
      <c r="V184">
        <f t="shared" ca="1" si="27"/>
        <v>6.7168173598553267</v>
      </c>
      <c r="Y184">
        <f t="shared" si="28"/>
        <v>17.699999999999982</v>
      </c>
      <c r="Z184">
        <f t="shared" ca="1" si="29"/>
        <v>6.7168173598553267</v>
      </c>
    </row>
    <row r="185" spans="14:26" x14ac:dyDescent="0.25">
      <c r="N185">
        <f t="shared" si="26"/>
        <v>17.799999999999983</v>
      </c>
      <c r="P185">
        <f t="shared" ca="1" si="30"/>
        <v>17.635030049346199</v>
      </c>
      <c r="Q185">
        <f t="shared" ca="1" si="25"/>
        <v>17.9535723200399</v>
      </c>
      <c r="S185">
        <f t="shared" ca="1" si="23"/>
        <v>6.5125477621397403</v>
      </c>
      <c r="T185">
        <f t="shared" ca="1" si="24"/>
        <v>7.5140646300954197</v>
      </c>
      <c r="V185">
        <f t="shared" ca="1" si="27"/>
        <v>7.0312236286920031</v>
      </c>
      <c r="Y185">
        <f t="shared" si="28"/>
        <v>17.799999999999983</v>
      </c>
      <c r="Z185">
        <f t="shared" ca="1" si="29"/>
        <v>7.0312236286920031</v>
      </c>
    </row>
    <row r="186" spans="14:26" x14ac:dyDescent="0.25">
      <c r="N186">
        <f t="shared" si="26"/>
        <v>17.899999999999984</v>
      </c>
      <c r="P186">
        <f t="shared" ca="1" si="30"/>
        <v>17.635030049346199</v>
      </c>
      <c r="Q186">
        <f t="shared" ca="1" si="25"/>
        <v>17.9535723200399</v>
      </c>
      <c r="S186">
        <f t="shared" ca="1" si="23"/>
        <v>6.5125477621397403</v>
      </c>
      <c r="T186">
        <f t="shared" ca="1" si="24"/>
        <v>7.5140646300954197</v>
      </c>
      <c r="V186">
        <f t="shared" ca="1" si="27"/>
        <v>7.3456298975286805</v>
      </c>
      <c r="Y186">
        <f t="shared" si="28"/>
        <v>17.899999999999984</v>
      </c>
      <c r="Z186">
        <f t="shared" ca="1" si="29"/>
        <v>7.3456298975286805</v>
      </c>
    </row>
    <row r="187" spans="14:26" x14ac:dyDescent="0.25">
      <c r="N187">
        <f t="shared" si="26"/>
        <v>17.999999999999986</v>
      </c>
      <c r="P187">
        <f t="shared" ca="1" si="30"/>
        <v>17.9535723200399</v>
      </c>
      <c r="Q187">
        <f t="shared" ca="1" si="25"/>
        <v>18.2006873907951</v>
      </c>
      <c r="S187">
        <f t="shared" ca="1" si="23"/>
        <v>7.5140646300954197</v>
      </c>
      <c r="T187">
        <f t="shared" ca="1" si="24"/>
        <v>6.2295270828133003</v>
      </c>
      <c r="V187">
        <f t="shared" ca="1" si="27"/>
        <v>7.2727272727271695</v>
      </c>
      <c r="Y187">
        <f t="shared" si="28"/>
        <v>17.999999999999986</v>
      </c>
      <c r="Z187">
        <f t="shared" ca="1" si="29"/>
        <v>7.2727272727271695</v>
      </c>
    </row>
    <row r="188" spans="14:26" x14ac:dyDescent="0.25">
      <c r="N188">
        <f t="shared" si="26"/>
        <v>18.099999999999987</v>
      </c>
      <c r="P188">
        <f t="shared" ca="1" si="30"/>
        <v>17.9535723200399</v>
      </c>
      <c r="Q188">
        <f t="shared" ca="1" si="25"/>
        <v>18.2006873907951</v>
      </c>
      <c r="S188">
        <f t="shared" ca="1" si="23"/>
        <v>7.5140646300954197</v>
      </c>
      <c r="T188">
        <f t="shared" ca="1" si="24"/>
        <v>6.2295270828133003</v>
      </c>
      <c r="V188">
        <f t="shared" ca="1" si="27"/>
        <v>6.7529137529137051</v>
      </c>
      <c r="Y188">
        <f t="shared" si="28"/>
        <v>18.099999999999987</v>
      </c>
      <c r="Z188">
        <f t="shared" ca="1" si="29"/>
        <v>6.7529137529137051</v>
      </c>
    </row>
    <row r="189" spans="14:26" x14ac:dyDescent="0.25">
      <c r="N189">
        <f t="shared" si="26"/>
        <v>18.199999999999989</v>
      </c>
      <c r="P189">
        <f t="shared" ca="1" si="30"/>
        <v>17.9535723200399</v>
      </c>
      <c r="Q189">
        <f t="shared" ca="1" si="25"/>
        <v>18.2006873907951</v>
      </c>
      <c r="S189">
        <f t="shared" ca="1" si="23"/>
        <v>7.5140646300954197</v>
      </c>
      <c r="T189">
        <f t="shared" ca="1" si="24"/>
        <v>6.2295270828133003</v>
      </c>
      <c r="V189">
        <f t="shared" ca="1" si="27"/>
        <v>6.2331002331002408</v>
      </c>
      <c r="Y189">
        <f t="shared" si="28"/>
        <v>18.199999999999989</v>
      </c>
      <c r="Z189">
        <f t="shared" ca="1" si="29"/>
        <v>6.2331002331002408</v>
      </c>
    </row>
    <row r="190" spans="14:26" x14ac:dyDescent="0.25">
      <c r="N190">
        <f t="shared" si="26"/>
        <v>18.29999999999999</v>
      </c>
      <c r="P190">
        <f t="shared" ca="1" si="30"/>
        <v>18.2006873907951</v>
      </c>
      <c r="Q190">
        <f t="shared" ca="1" si="25"/>
        <v>18.4355139110232</v>
      </c>
      <c r="S190">
        <f t="shared" ca="1" si="23"/>
        <v>6.2295270828133003</v>
      </c>
      <c r="T190">
        <f t="shared" ca="1" si="24"/>
        <v>7.99255006624296</v>
      </c>
      <c r="V190">
        <f t="shared" ca="1" si="27"/>
        <v>6.9751430907604188</v>
      </c>
      <c r="Y190">
        <f t="shared" si="28"/>
        <v>18.29999999999999</v>
      </c>
      <c r="Z190">
        <f t="shared" ca="1" si="29"/>
        <v>6.9751430907604188</v>
      </c>
    </row>
    <row r="191" spans="14:26" x14ac:dyDescent="0.25">
      <c r="N191">
        <f t="shared" si="26"/>
        <v>18.399999999999991</v>
      </c>
      <c r="P191">
        <f t="shared" ca="1" si="30"/>
        <v>18.2006873907951</v>
      </c>
      <c r="Q191">
        <f t="shared" ca="1" si="25"/>
        <v>18.4355139110232</v>
      </c>
      <c r="S191">
        <f t="shared" ca="1" si="23"/>
        <v>6.2295270828133003</v>
      </c>
      <c r="T191">
        <f t="shared" ca="1" si="24"/>
        <v>7.99255006624296</v>
      </c>
      <c r="V191">
        <f t="shared" ca="1" si="27"/>
        <v>7.7259198691741853</v>
      </c>
      <c r="Y191">
        <f t="shared" si="28"/>
        <v>18.399999999999991</v>
      </c>
      <c r="Z191">
        <f t="shared" ca="1" si="29"/>
        <v>7.7259198691741853</v>
      </c>
    </row>
    <row r="192" spans="14:26" x14ac:dyDescent="0.25">
      <c r="N192">
        <f t="shared" si="26"/>
        <v>18.499999999999993</v>
      </c>
      <c r="P192">
        <f t="shared" ca="1" si="30"/>
        <v>18.4355139110232</v>
      </c>
      <c r="Q192">
        <f t="shared" ca="1" si="25"/>
        <v>18.769416869875698</v>
      </c>
      <c r="S192">
        <f t="shared" ca="1" si="23"/>
        <v>7.99255006624296</v>
      </c>
      <c r="T192">
        <f t="shared" ca="1" si="24"/>
        <v>5.1846162708089301</v>
      </c>
      <c r="V192">
        <f t="shared" ca="1" si="27"/>
        <v>7.4502587694075491</v>
      </c>
      <c r="Y192">
        <f t="shared" si="28"/>
        <v>18.499999999999993</v>
      </c>
      <c r="Z192">
        <f t="shared" ca="1" si="29"/>
        <v>7.4502587694075491</v>
      </c>
    </row>
    <row r="193" spans="14:26" x14ac:dyDescent="0.25">
      <c r="N193">
        <f t="shared" si="26"/>
        <v>18.599999999999994</v>
      </c>
      <c r="P193">
        <f t="shared" ca="1" si="30"/>
        <v>18.4355139110232</v>
      </c>
      <c r="Q193">
        <f t="shared" ca="1" si="25"/>
        <v>18.769416869875698</v>
      </c>
      <c r="S193">
        <f t="shared" ca="1" si="23"/>
        <v>7.99255006624296</v>
      </c>
      <c r="T193">
        <f t="shared" ca="1" si="24"/>
        <v>5.1846162708089301</v>
      </c>
      <c r="V193">
        <f t="shared" ca="1" si="27"/>
        <v>6.6093156986770865</v>
      </c>
      <c r="Y193">
        <f t="shared" si="28"/>
        <v>18.599999999999994</v>
      </c>
      <c r="Z193">
        <f t="shared" ca="1" si="29"/>
        <v>6.6093156986770865</v>
      </c>
    </row>
    <row r="194" spans="14:26" x14ac:dyDescent="0.25">
      <c r="N194">
        <f t="shared" si="26"/>
        <v>18.699999999999996</v>
      </c>
      <c r="P194">
        <f t="shared" ca="1" si="30"/>
        <v>18.4355139110232</v>
      </c>
      <c r="Q194">
        <f t="shared" ca="1" si="25"/>
        <v>18.769416869875698</v>
      </c>
      <c r="S194">
        <f t="shared" ca="1" si="23"/>
        <v>7.99255006624296</v>
      </c>
      <c r="T194">
        <f t="shared" ca="1" si="24"/>
        <v>5.1846162708089301</v>
      </c>
      <c r="V194">
        <f t="shared" ca="1" si="27"/>
        <v>5.7683726279466239</v>
      </c>
      <c r="Y194">
        <f t="shared" si="28"/>
        <v>18.699999999999996</v>
      </c>
      <c r="Z194">
        <f t="shared" ca="1" si="29"/>
        <v>5.7683726279466239</v>
      </c>
    </row>
    <row r="195" spans="14:26" x14ac:dyDescent="0.25">
      <c r="N195">
        <f t="shared" si="26"/>
        <v>18.799999999999997</v>
      </c>
      <c r="P195">
        <f t="shared" ca="1" si="30"/>
        <v>18.769416869875698</v>
      </c>
      <c r="Q195">
        <f t="shared" ca="1" si="25"/>
        <v>19.167642710393402</v>
      </c>
      <c r="S195">
        <f t="shared" ca="1" si="23"/>
        <v>5.1846162708089301</v>
      </c>
      <c r="T195">
        <f t="shared" ca="1" si="24"/>
        <v>6.4246078224304402</v>
      </c>
      <c r="V195">
        <f t="shared" ca="1" si="27"/>
        <v>5.2798457087755155</v>
      </c>
      <c r="Y195">
        <f t="shared" si="28"/>
        <v>18.799999999999997</v>
      </c>
      <c r="Z195">
        <f t="shared" ca="1" si="29"/>
        <v>5.2798457087755155</v>
      </c>
    </row>
    <row r="196" spans="14:26" x14ac:dyDescent="0.25">
      <c r="N196">
        <f t="shared" si="26"/>
        <v>18.899999999999999</v>
      </c>
      <c r="P196">
        <f t="shared" ca="1" si="30"/>
        <v>18.769416869875698</v>
      </c>
      <c r="Q196">
        <f t="shared" ca="1" si="25"/>
        <v>19.167642710393402</v>
      </c>
      <c r="S196">
        <f t="shared" ca="1" si="23"/>
        <v>5.1846162708089301</v>
      </c>
      <c r="T196">
        <f t="shared" ca="1" si="24"/>
        <v>6.4246078224304402</v>
      </c>
      <c r="V196">
        <f t="shared" ca="1" si="27"/>
        <v>5.5912246865961182</v>
      </c>
      <c r="Y196">
        <f t="shared" si="28"/>
        <v>18.899999999999999</v>
      </c>
      <c r="Z196">
        <f t="shared" ca="1" si="29"/>
        <v>5.5912246865961182</v>
      </c>
    </row>
    <row r="197" spans="14:26" x14ac:dyDescent="0.25">
      <c r="N197">
        <f t="shared" si="26"/>
        <v>19</v>
      </c>
      <c r="P197">
        <f t="shared" ca="1" si="30"/>
        <v>18.769416869875698</v>
      </c>
      <c r="Q197">
        <f t="shared" ca="1" si="25"/>
        <v>19.167642710393402</v>
      </c>
      <c r="S197">
        <f t="shared" ca="1" si="23"/>
        <v>5.1846162708089301</v>
      </c>
      <c r="T197">
        <f t="shared" ca="1" si="24"/>
        <v>6.4246078224304402</v>
      </c>
      <c r="V197">
        <f t="shared" ca="1" si="27"/>
        <v>5.9026036644167199</v>
      </c>
      <c r="Y197">
        <f t="shared" si="28"/>
        <v>19</v>
      </c>
      <c r="Z197">
        <f t="shared" ca="1" si="29"/>
        <v>5.9026036644167199</v>
      </c>
    </row>
    <row r="198" spans="14:26" x14ac:dyDescent="0.25">
      <c r="N198">
        <f t="shared" si="26"/>
        <v>19.100000000000001</v>
      </c>
      <c r="P198">
        <f t="shared" ca="1" si="30"/>
        <v>18.769416869875698</v>
      </c>
      <c r="Q198">
        <f t="shared" ca="1" si="25"/>
        <v>19.167642710393402</v>
      </c>
      <c r="S198">
        <f t="shared" ca="1" si="23"/>
        <v>5.1846162708089301</v>
      </c>
      <c r="T198">
        <f t="shared" ca="1" si="24"/>
        <v>6.4246078224304402</v>
      </c>
      <c r="V198">
        <f t="shared" ca="1" si="27"/>
        <v>6.2139826422373226</v>
      </c>
      <c r="Y198">
        <f t="shared" si="28"/>
        <v>19.100000000000001</v>
      </c>
      <c r="Z198">
        <f t="shared" ca="1" si="29"/>
        <v>6.2139826422373226</v>
      </c>
    </row>
    <row r="199" spans="14:26" x14ac:dyDescent="0.25">
      <c r="N199">
        <f t="shared" si="26"/>
        <v>19.200000000000003</v>
      </c>
      <c r="P199">
        <f t="shared" ca="1" si="30"/>
        <v>19.167642710393402</v>
      </c>
      <c r="Q199">
        <f t="shared" ca="1" si="25"/>
        <v>19.333538142508701</v>
      </c>
      <c r="S199">
        <f t="shared" ca="1" si="23"/>
        <v>6.4246078224304402</v>
      </c>
      <c r="T199">
        <f t="shared" ca="1" si="24"/>
        <v>5.2825406578214702</v>
      </c>
      <c r="V199">
        <f t="shared" ca="1" si="27"/>
        <v>6.2018518518515835</v>
      </c>
      <c r="Y199">
        <f t="shared" si="28"/>
        <v>19.200000000000003</v>
      </c>
      <c r="Z199">
        <f t="shared" ca="1" si="29"/>
        <v>6.2018518518515835</v>
      </c>
    </row>
    <row r="200" spans="14:26" x14ac:dyDescent="0.25">
      <c r="N200">
        <f t="shared" si="26"/>
        <v>19.300000000000004</v>
      </c>
      <c r="P200">
        <f t="shared" ca="1" si="30"/>
        <v>19.167642710393402</v>
      </c>
      <c r="Q200">
        <f t="shared" ca="1" si="25"/>
        <v>19.333538142508701</v>
      </c>
      <c r="S200">
        <f t="shared" ref="S200:S263" ca="1" si="31">OFFSET($J$7,MATCH($N200,$I$7:$I$143,1)-1,0)</f>
        <v>6.4246078224304402</v>
      </c>
      <c r="T200">
        <f t="shared" ref="T200:T263" ca="1" si="32">OFFSET($J$7,MATCH($N200,$I$7:$I$143,1),0)</f>
        <v>5.2825406578214702</v>
      </c>
      <c r="V200">
        <f t="shared" ca="1" si="27"/>
        <v>5.5134259259254028</v>
      </c>
      <c r="Y200">
        <f t="shared" si="28"/>
        <v>19.300000000000004</v>
      </c>
      <c r="Z200">
        <f t="shared" ca="1" si="29"/>
        <v>5.5134259259254028</v>
      </c>
    </row>
    <row r="201" spans="14:26" x14ac:dyDescent="0.25">
      <c r="N201">
        <f t="shared" si="26"/>
        <v>19.400000000000006</v>
      </c>
      <c r="P201">
        <f t="shared" ca="1" si="30"/>
        <v>19.333538142508701</v>
      </c>
      <c r="Q201">
        <f t="shared" ca="1" si="25"/>
        <v>19.657840671262001</v>
      </c>
      <c r="S201">
        <f t="shared" ca="1" si="31"/>
        <v>5.2825406578214702</v>
      </c>
      <c r="T201">
        <f t="shared" ca="1" si="32"/>
        <v>4.8555135270060097</v>
      </c>
      <c r="V201">
        <f t="shared" ca="1" si="27"/>
        <v>5.1950266429838994</v>
      </c>
      <c r="Y201">
        <f t="shared" si="28"/>
        <v>19.400000000000006</v>
      </c>
      <c r="Z201">
        <f t="shared" ca="1" si="29"/>
        <v>5.1950266429838994</v>
      </c>
    </row>
    <row r="202" spans="14:26" x14ac:dyDescent="0.25">
      <c r="N202">
        <f t="shared" si="26"/>
        <v>19.500000000000007</v>
      </c>
      <c r="P202">
        <f t="shared" ca="1" si="30"/>
        <v>19.333538142508701</v>
      </c>
      <c r="Q202">
        <f t="shared" ca="1" si="25"/>
        <v>19.657840671262001</v>
      </c>
      <c r="S202">
        <f t="shared" ca="1" si="31"/>
        <v>5.2825406578214702</v>
      </c>
      <c r="T202">
        <f t="shared" ca="1" si="32"/>
        <v>4.8555135270060097</v>
      </c>
      <c r="V202">
        <f t="shared" ca="1" si="27"/>
        <v>5.0633510953225649</v>
      </c>
      <c r="Y202">
        <f t="shared" si="28"/>
        <v>19.500000000000007</v>
      </c>
      <c r="Z202">
        <f t="shared" ca="1" si="29"/>
        <v>5.0633510953225649</v>
      </c>
    </row>
    <row r="203" spans="14:26" x14ac:dyDescent="0.25">
      <c r="N203">
        <f t="shared" si="26"/>
        <v>19.600000000000009</v>
      </c>
      <c r="P203">
        <f t="shared" ca="1" si="30"/>
        <v>19.333538142508701</v>
      </c>
      <c r="Q203">
        <f t="shared" ref="Q203:Q266" ca="1" si="33">OFFSET($I$7,MATCH($N203,$I$7:$I$143,1),0)</f>
        <v>19.657840671262001</v>
      </c>
      <c r="S203">
        <f t="shared" ca="1" si="31"/>
        <v>5.2825406578214702</v>
      </c>
      <c r="T203">
        <f t="shared" ca="1" si="32"/>
        <v>4.8555135270060097</v>
      </c>
      <c r="V203">
        <f t="shared" ca="1" si="27"/>
        <v>4.9316755476612295</v>
      </c>
      <c r="Y203">
        <f t="shared" si="28"/>
        <v>19.600000000000009</v>
      </c>
      <c r="Z203">
        <f t="shared" ca="1" si="29"/>
        <v>4.9316755476612295</v>
      </c>
    </row>
    <row r="204" spans="14:26" x14ac:dyDescent="0.25">
      <c r="N204">
        <f t="shared" si="26"/>
        <v>19.70000000000001</v>
      </c>
      <c r="P204">
        <f t="shared" ca="1" si="30"/>
        <v>19.657840671262001</v>
      </c>
      <c r="Q204">
        <f t="shared" ca="1" si="33"/>
        <v>19.812791613064199</v>
      </c>
      <c r="S204">
        <f t="shared" ca="1" si="31"/>
        <v>4.8555135270060097</v>
      </c>
      <c r="T204">
        <f t="shared" ca="1" si="32"/>
        <v>6.4276799600622097</v>
      </c>
      <c r="V204">
        <f t="shared" ca="1" si="27"/>
        <v>5.2832713754654961</v>
      </c>
      <c r="Y204">
        <f t="shared" si="28"/>
        <v>19.70000000000001</v>
      </c>
      <c r="Z204">
        <f t="shared" ca="1" si="29"/>
        <v>5.2832713754654961</v>
      </c>
    </row>
    <row r="205" spans="14:26" x14ac:dyDescent="0.25">
      <c r="N205">
        <f t="shared" si="26"/>
        <v>19.800000000000011</v>
      </c>
      <c r="P205">
        <f t="shared" ca="1" si="30"/>
        <v>19.657840671262001</v>
      </c>
      <c r="Q205">
        <f t="shared" ca="1" si="33"/>
        <v>19.812791613064199</v>
      </c>
      <c r="S205">
        <f t="shared" ca="1" si="31"/>
        <v>4.8555135270060097</v>
      </c>
      <c r="T205">
        <f t="shared" ca="1" si="32"/>
        <v>6.4276799600622097</v>
      </c>
      <c r="V205">
        <f t="shared" ca="1" si="27"/>
        <v>6.2978934324667124</v>
      </c>
      <c r="Y205">
        <f t="shared" si="28"/>
        <v>19.800000000000011</v>
      </c>
      <c r="Z205">
        <f t="shared" ca="1" si="29"/>
        <v>6.2978934324667124</v>
      </c>
    </row>
    <row r="206" spans="14:26" x14ac:dyDescent="0.25">
      <c r="N206">
        <f t="shared" si="26"/>
        <v>19.900000000000013</v>
      </c>
      <c r="P206">
        <f t="shared" ca="1" si="30"/>
        <v>19.812791613064199</v>
      </c>
      <c r="Q206">
        <f t="shared" ca="1" si="33"/>
        <v>20.136134098807599</v>
      </c>
      <c r="S206">
        <f t="shared" ca="1" si="31"/>
        <v>6.4276799600622097</v>
      </c>
      <c r="T206">
        <f t="shared" ca="1" si="32"/>
        <v>6.2387434957085999</v>
      </c>
      <c r="V206">
        <f t="shared" ca="1" si="27"/>
        <v>6.3767220902612394</v>
      </c>
      <c r="Y206">
        <f t="shared" si="28"/>
        <v>19.900000000000013</v>
      </c>
      <c r="Z206">
        <f t="shared" ca="1" si="29"/>
        <v>6.3767220902612394</v>
      </c>
    </row>
    <row r="207" spans="14:26" x14ac:dyDescent="0.25">
      <c r="N207">
        <f t="shared" si="26"/>
        <v>20.000000000000014</v>
      </c>
      <c r="P207">
        <f t="shared" ca="1" si="30"/>
        <v>19.812791613064199</v>
      </c>
      <c r="Q207">
        <f t="shared" ca="1" si="33"/>
        <v>20.136134098807599</v>
      </c>
      <c r="S207">
        <f t="shared" ca="1" si="31"/>
        <v>6.4276799600622097</v>
      </c>
      <c r="T207">
        <f t="shared" ca="1" si="32"/>
        <v>6.2387434957085999</v>
      </c>
      <c r="V207">
        <f t="shared" ca="1" si="27"/>
        <v>6.3182897862232386</v>
      </c>
      <c r="Y207">
        <f t="shared" si="28"/>
        <v>20.000000000000014</v>
      </c>
      <c r="Z207">
        <f t="shared" ca="1" si="29"/>
        <v>6.3182897862232386</v>
      </c>
    </row>
    <row r="208" spans="14:26" x14ac:dyDescent="0.25">
      <c r="N208">
        <f t="shared" si="26"/>
        <v>20.100000000000016</v>
      </c>
      <c r="P208">
        <f t="shared" ca="1" si="30"/>
        <v>19.812791613064199</v>
      </c>
      <c r="Q208">
        <f t="shared" ca="1" si="33"/>
        <v>20.136134098807599</v>
      </c>
      <c r="S208">
        <f t="shared" ca="1" si="31"/>
        <v>6.4276799600622097</v>
      </c>
      <c r="T208">
        <f t="shared" ca="1" si="32"/>
        <v>6.2387434957085999</v>
      </c>
      <c r="V208">
        <f t="shared" ca="1" si="27"/>
        <v>6.2598574821852377</v>
      </c>
      <c r="Y208">
        <f t="shared" si="28"/>
        <v>20.100000000000016</v>
      </c>
      <c r="Z208">
        <f t="shared" ca="1" si="29"/>
        <v>6.2598574821852377</v>
      </c>
    </row>
    <row r="209" spans="14:26" x14ac:dyDescent="0.25">
      <c r="N209">
        <f t="shared" ref="N209:N272" si="34">IF(N208&lt;$I$2,N208+(1/N$2),"")</f>
        <v>20.200000000000017</v>
      </c>
      <c r="P209">
        <f t="shared" ca="1" si="30"/>
        <v>20.136134098807599</v>
      </c>
      <c r="Q209">
        <f t="shared" ca="1" si="33"/>
        <v>20.382289126552799</v>
      </c>
      <c r="S209">
        <f t="shared" ca="1" si="31"/>
        <v>6.2387434957085999</v>
      </c>
      <c r="T209">
        <f t="shared" ca="1" si="32"/>
        <v>5.19229661488834</v>
      </c>
      <c r="V209">
        <f t="shared" ref="V209:V272" ca="1" si="35">IFERROR(S209+(T209-S209)*((N209-P209)/(Q209-P209)),"")</f>
        <v>5.9672386895473357</v>
      </c>
      <c r="Y209">
        <f t="shared" ref="Y209:Y272" si="36">IF(ISNUMBER(N209),N209,NA())</f>
        <v>20.200000000000017</v>
      </c>
      <c r="Z209">
        <f t="shared" ref="Z209:Z272" ca="1" si="37">IF(ISNUMBER(V209),V209,NA())</f>
        <v>5.9672386895473357</v>
      </c>
    </row>
    <row r="210" spans="14:26" x14ac:dyDescent="0.25">
      <c r="N210">
        <f t="shared" si="34"/>
        <v>20.300000000000018</v>
      </c>
      <c r="P210">
        <f t="shared" ca="1" si="30"/>
        <v>20.136134098807599</v>
      </c>
      <c r="Q210">
        <f t="shared" ca="1" si="33"/>
        <v>20.382289126552799</v>
      </c>
      <c r="S210">
        <f t="shared" ca="1" si="31"/>
        <v>6.2387434957085999</v>
      </c>
      <c r="T210">
        <f t="shared" ca="1" si="32"/>
        <v>5.19229661488834</v>
      </c>
      <c r="V210">
        <f t="shared" ca="1" si="35"/>
        <v>5.5421216848670687</v>
      </c>
      <c r="Y210">
        <f t="shared" si="36"/>
        <v>20.300000000000018</v>
      </c>
      <c r="Z210">
        <f t="shared" ca="1" si="37"/>
        <v>5.5421216848670687</v>
      </c>
    </row>
    <row r="211" spans="14:26" x14ac:dyDescent="0.25">
      <c r="N211">
        <f t="shared" si="34"/>
        <v>20.40000000000002</v>
      </c>
      <c r="P211">
        <f t="shared" ca="1" si="30"/>
        <v>20.382289126552799</v>
      </c>
      <c r="Q211">
        <f t="shared" ca="1" si="33"/>
        <v>20.468500988844301</v>
      </c>
      <c r="S211">
        <f t="shared" ca="1" si="31"/>
        <v>5.19229661488834</v>
      </c>
      <c r="T211">
        <f t="shared" ca="1" si="32"/>
        <v>3.8117547666135398</v>
      </c>
      <c r="V211">
        <f t="shared" ca="1" si="35"/>
        <v>4.9086859688183742</v>
      </c>
      <c r="Y211">
        <f t="shared" si="36"/>
        <v>20.40000000000002</v>
      </c>
      <c r="Z211">
        <f t="shared" ca="1" si="37"/>
        <v>4.9086859688183742</v>
      </c>
    </row>
    <row r="212" spans="14:26" x14ac:dyDescent="0.25">
      <c r="N212">
        <f t="shared" si="34"/>
        <v>20.500000000000021</v>
      </c>
      <c r="P212">
        <f t="shared" ca="1" si="30"/>
        <v>20.468500988844301</v>
      </c>
      <c r="Q212">
        <f t="shared" ca="1" si="33"/>
        <v>20.8684549067798</v>
      </c>
      <c r="S212">
        <f t="shared" ca="1" si="31"/>
        <v>3.8117547666135398</v>
      </c>
      <c r="T212">
        <f t="shared" ca="1" si="32"/>
        <v>4.62318311860371</v>
      </c>
      <c r="V212">
        <f t="shared" ca="1" si="35"/>
        <v>3.8756601056169395</v>
      </c>
      <c r="Y212">
        <f t="shared" si="36"/>
        <v>20.500000000000021</v>
      </c>
      <c r="Z212">
        <f t="shared" ca="1" si="37"/>
        <v>3.8756601056169395</v>
      </c>
    </row>
    <row r="213" spans="14:26" x14ac:dyDescent="0.25">
      <c r="N213">
        <f t="shared" si="34"/>
        <v>20.600000000000023</v>
      </c>
      <c r="P213">
        <f t="shared" ca="1" si="30"/>
        <v>20.468500988844301</v>
      </c>
      <c r="Q213">
        <f t="shared" ca="1" si="33"/>
        <v>20.8684549067798</v>
      </c>
      <c r="S213">
        <f t="shared" ca="1" si="31"/>
        <v>3.8117547666135398</v>
      </c>
      <c r="T213">
        <f t="shared" ca="1" si="32"/>
        <v>4.62318311860371</v>
      </c>
      <c r="V213">
        <f t="shared" ca="1" si="35"/>
        <v>4.0785405664906955</v>
      </c>
      <c r="Y213">
        <f t="shared" si="36"/>
        <v>20.600000000000023</v>
      </c>
      <c r="Z213">
        <f t="shared" ca="1" si="37"/>
        <v>4.0785405664906955</v>
      </c>
    </row>
    <row r="214" spans="14:26" x14ac:dyDescent="0.25">
      <c r="N214">
        <f t="shared" si="34"/>
        <v>20.700000000000024</v>
      </c>
      <c r="P214">
        <f t="shared" ca="1" si="30"/>
        <v>20.468500988844301</v>
      </c>
      <c r="Q214">
        <f t="shared" ca="1" si="33"/>
        <v>20.8684549067798</v>
      </c>
      <c r="S214">
        <f t="shared" ca="1" si="31"/>
        <v>3.8117547666135398</v>
      </c>
      <c r="T214">
        <f t="shared" ca="1" si="32"/>
        <v>4.62318311860371</v>
      </c>
      <c r="V214">
        <f t="shared" ca="1" si="35"/>
        <v>4.2814210273644511</v>
      </c>
      <c r="Y214">
        <f t="shared" si="36"/>
        <v>20.700000000000024</v>
      </c>
      <c r="Z214">
        <f t="shared" ca="1" si="37"/>
        <v>4.2814210273644511</v>
      </c>
    </row>
    <row r="215" spans="14:26" x14ac:dyDescent="0.25">
      <c r="N215">
        <f t="shared" si="34"/>
        <v>20.800000000000026</v>
      </c>
      <c r="P215">
        <f t="shared" ca="1" si="30"/>
        <v>20.468500988844301</v>
      </c>
      <c r="Q215">
        <f t="shared" ca="1" si="33"/>
        <v>20.8684549067798</v>
      </c>
      <c r="S215">
        <f t="shared" ca="1" si="31"/>
        <v>3.8117547666135398</v>
      </c>
      <c r="T215">
        <f t="shared" ca="1" si="32"/>
        <v>4.62318311860371</v>
      </c>
      <c r="V215">
        <f t="shared" ca="1" si="35"/>
        <v>4.4843014882382066</v>
      </c>
      <c r="Y215">
        <f t="shared" si="36"/>
        <v>20.800000000000026</v>
      </c>
      <c r="Z215">
        <f t="shared" ca="1" si="37"/>
        <v>4.4843014882382066</v>
      </c>
    </row>
    <row r="216" spans="14:26" x14ac:dyDescent="0.25">
      <c r="N216">
        <f t="shared" si="34"/>
        <v>20.900000000000027</v>
      </c>
      <c r="P216">
        <f t="shared" ca="1" si="30"/>
        <v>20.8684549067798</v>
      </c>
      <c r="Q216">
        <f t="shared" ca="1" si="33"/>
        <v>21.185845125861601</v>
      </c>
      <c r="S216">
        <f t="shared" ca="1" si="31"/>
        <v>4.62318311860371</v>
      </c>
      <c r="T216">
        <f t="shared" ca="1" si="32"/>
        <v>5.9104087863136199</v>
      </c>
      <c r="V216">
        <f t="shared" ca="1" si="35"/>
        <v>4.7511191772536883</v>
      </c>
      <c r="Y216">
        <f t="shared" si="36"/>
        <v>20.900000000000027</v>
      </c>
      <c r="Z216">
        <f t="shared" ca="1" si="37"/>
        <v>4.7511191772536883</v>
      </c>
    </row>
    <row r="217" spans="14:26" x14ac:dyDescent="0.25">
      <c r="N217">
        <f t="shared" si="34"/>
        <v>21.000000000000028</v>
      </c>
      <c r="P217">
        <f t="shared" ca="1" si="30"/>
        <v>20.8684549067798</v>
      </c>
      <c r="Q217">
        <f t="shared" ca="1" si="33"/>
        <v>21.185845125861601</v>
      </c>
      <c r="S217">
        <f t="shared" ca="1" si="31"/>
        <v>4.62318311860371</v>
      </c>
      <c r="T217">
        <f t="shared" ca="1" si="32"/>
        <v>5.9104087863136199</v>
      </c>
      <c r="V217">
        <f t="shared" ca="1" si="35"/>
        <v>5.1566848154872247</v>
      </c>
      <c r="Y217">
        <f t="shared" si="36"/>
        <v>21.000000000000028</v>
      </c>
      <c r="Z217">
        <f t="shared" ca="1" si="37"/>
        <v>5.1566848154872247</v>
      </c>
    </row>
    <row r="218" spans="14:26" x14ac:dyDescent="0.25">
      <c r="N218">
        <f t="shared" si="34"/>
        <v>21.10000000000003</v>
      </c>
      <c r="P218">
        <f t="shared" ca="1" si="30"/>
        <v>20.8684549067798</v>
      </c>
      <c r="Q218">
        <f t="shared" ca="1" si="33"/>
        <v>21.185845125861601</v>
      </c>
      <c r="S218">
        <f t="shared" ca="1" si="31"/>
        <v>4.62318311860371</v>
      </c>
      <c r="T218">
        <f t="shared" ca="1" si="32"/>
        <v>5.9104087863136199</v>
      </c>
      <c r="V218">
        <f t="shared" ca="1" si="35"/>
        <v>5.562250453720762</v>
      </c>
      <c r="Y218">
        <f t="shared" si="36"/>
        <v>21.10000000000003</v>
      </c>
      <c r="Z218">
        <f t="shared" ca="1" si="37"/>
        <v>5.562250453720762</v>
      </c>
    </row>
    <row r="219" spans="14:26" x14ac:dyDescent="0.25">
      <c r="N219">
        <f t="shared" si="34"/>
        <v>21.200000000000031</v>
      </c>
      <c r="P219">
        <f t="shared" ca="1" si="30"/>
        <v>21.185845125861601</v>
      </c>
      <c r="Q219">
        <f t="shared" ca="1" si="33"/>
        <v>21.5105316718188</v>
      </c>
      <c r="S219">
        <f t="shared" ca="1" si="31"/>
        <v>5.9104087863136199</v>
      </c>
      <c r="T219">
        <f t="shared" ca="1" si="32"/>
        <v>5.3881453889134203</v>
      </c>
      <c r="V219">
        <f t="shared" ca="1" si="35"/>
        <v>5.8876404494380798</v>
      </c>
      <c r="Y219">
        <f t="shared" si="36"/>
        <v>21.200000000000031</v>
      </c>
      <c r="Z219">
        <f t="shared" ca="1" si="37"/>
        <v>5.8876404494380798</v>
      </c>
    </row>
    <row r="220" spans="14:26" x14ac:dyDescent="0.25">
      <c r="N220">
        <f t="shared" si="34"/>
        <v>21.300000000000033</v>
      </c>
      <c r="P220">
        <f t="shared" ca="1" si="30"/>
        <v>21.185845125861601</v>
      </c>
      <c r="Q220">
        <f t="shared" ca="1" si="33"/>
        <v>21.5105316718188</v>
      </c>
      <c r="S220">
        <f t="shared" ca="1" si="31"/>
        <v>5.9104087863136199</v>
      </c>
      <c r="T220">
        <f t="shared" ca="1" si="32"/>
        <v>5.3881453889134203</v>
      </c>
      <c r="V220">
        <f t="shared" ca="1" si="35"/>
        <v>5.7267888823180018</v>
      </c>
      <c r="Y220">
        <f t="shared" si="36"/>
        <v>21.300000000000033</v>
      </c>
      <c r="Z220">
        <f t="shared" ca="1" si="37"/>
        <v>5.7267888823180018</v>
      </c>
    </row>
    <row r="221" spans="14:26" x14ac:dyDescent="0.25">
      <c r="N221">
        <f t="shared" si="34"/>
        <v>21.400000000000034</v>
      </c>
      <c r="P221">
        <f t="shared" ca="1" si="30"/>
        <v>21.185845125861601</v>
      </c>
      <c r="Q221">
        <f t="shared" ca="1" si="33"/>
        <v>21.5105316718188</v>
      </c>
      <c r="S221">
        <f t="shared" ca="1" si="31"/>
        <v>5.9104087863136199</v>
      </c>
      <c r="T221">
        <f t="shared" ca="1" si="32"/>
        <v>5.3881453889134203</v>
      </c>
      <c r="V221">
        <f t="shared" ca="1" si="35"/>
        <v>5.5659373151979246</v>
      </c>
      <c r="Y221">
        <f t="shared" si="36"/>
        <v>21.400000000000034</v>
      </c>
      <c r="Z221">
        <f t="shared" ca="1" si="37"/>
        <v>5.5659373151979246</v>
      </c>
    </row>
    <row r="222" spans="14:26" x14ac:dyDescent="0.25">
      <c r="N222">
        <f t="shared" si="34"/>
        <v>21.500000000000036</v>
      </c>
      <c r="P222">
        <f t="shared" ref="P222:P285" ca="1" si="38">OFFSET($I$7,MATCH($N222,$I$7:$I$143,1)-1,0)</f>
        <v>21.185845125861601</v>
      </c>
      <c r="Q222">
        <f t="shared" ca="1" si="33"/>
        <v>21.5105316718188</v>
      </c>
      <c r="S222">
        <f t="shared" ca="1" si="31"/>
        <v>5.9104087863136199</v>
      </c>
      <c r="T222">
        <f t="shared" ca="1" si="32"/>
        <v>5.3881453889134203</v>
      </c>
      <c r="V222">
        <f t="shared" ca="1" si="35"/>
        <v>5.4050857480778465</v>
      </c>
      <c r="Y222">
        <f t="shared" si="36"/>
        <v>21.500000000000036</v>
      </c>
      <c r="Z222">
        <f t="shared" ca="1" si="37"/>
        <v>5.4050857480778465</v>
      </c>
    </row>
    <row r="223" spans="14:26" x14ac:dyDescent="0.25">
      <c r="N223">
        <f t="shared" si="34"/>
        <v>21.600000000000037</v>
      </c>
      <c r="P223">
        <f t="shared" ca="1" si="38"/>
        <v>21.5105316718188</v>
      </c>
      <c r="Q223">
        <f t="shared" ca="1" si="33"/>
        <v>21.828689925308598</v>
      </c>
      <c r="S223">
        <f t="shared" ca="1" si="31"/>
        <v>5.3881453889134203</v>
      </c>
      <c r="T223">
        <f t="shared" ca="1" si="32"/>
        <v>6.4848985234538503</v>
      </c>
      <c r="V223">
        <f t="shared" ca="1" si="35"/>
        <v>5.6965600482804444</v>
      </c>
      <c r="Y223">
        <f t="shared" si="36"/>
        <v>21.600000000000037</v>
      </c>
      <c r="Z223">
        <f t="shared" ca="1" si="37"/>
        <v>5.6965600482804444</v>
      </c>
    </row>
    <row r="224" spans="14:26" x14ac:dyDescent="0.25">
      <c r="N224">
        <f t="shared" si="34"/>
        <v>21.700000000000038</v>
      </c>
      <c r="P224">
        <f t="shared" ca="1" si="38"/>
        <v>21.5105316718188</v>
      </c>
      <c r="Q224">
        <f t="shared" ca="1" si="33"/>
        <v>21.828689925308598</v>
      </c>
      <c r="S224">
        <f t="shared" ca="1" si="31"/>
        <v>5.3881453889134203</v>
      </c>
      <c r="T224">
        <f t="shared" ca="1" si="32"/>
        <v>6.4848985234538503</v>
      </c>
      <c r="V224">
        <f t="shared" ca="1" si="35"/>
        <v>6.041279420640091</v>
      </c>
      <c r="Y224">
        <f t="shared" si="36"/>
        <v>21.700000000000038</v>
      </c>
      <c r="Z224">
        <f t="shared" ca="1" si="37"/>
        <v>6.041279420640091</v>
      </c>
    </row>
    <row r="225" spans="14:26" x14ac:dyDescent="0.25">
      <c r="N225">
        <f t="shared" si="34"/>
        <v>21.80000000000004</v>
      </c>
      <c r="P225">
        <f t="shared" ca="1" si="38"/>
        <v>21.5105316718188</v>
      </c>
      <c r="Q225">
        <f t="shared" ca="1" si="33"/>
        <v>21.828689925308598</v>
      </c>
      <c r="S225">
        <f t="shared" ca="1" si="31"/>
        <v>5.3881453889134203</v>
      </c>
      <c r="T225">
        <f t="shared" ca="1" si="32"/>
        <v>6.4848985234538503</v>
      </c>
      <c r="V225">
        <f t="shared" ca="1" si="35"/>
        <v>6.3859987929997368</v>
      </c>
      <c r="Y225">
        <f t="shared" si="36"/>
        <v>21.80000000000004</v>
      </c>
      <c r="Z225">
        <f t="shared" ca="1" si="37"/>
        <v>6.3859987929997368</v>
      </c>
    </row>
    <row r="226" spans="14:26" x14ac:dyDescent="0.25">
      <c r="N226">
        <f t="shared" si="34"/>
        <v>21.900000000000041</v>
      </c>
      <c r="P226">
        <f t="shared" ca="1" si="38"/>
        <v>21.828689925308598</v>
      </c>
      <c r="Q226">
        <f t="shared" ca="1" si="33"/>
        <v>22.161632841151199</v>
      </c>
      <c r="S226">
        <f t="shared" ca="1" si="31"/>
        <v>6.4848985234538503</v>
      </c>
      <c r="T226">
        <f t="shared" ca="1" si="32"/>
        <v>3.9150553944816702</v>
      </c>
      <c r="V226">
        <f t="shared" ca="1" si="35"/>
        <v>5.9344867358700242</v>
      </c>
      <c r="Y226">
        <f t="shared" si="36"/>
        <v>21.900000000000041</v>
      </c>
      <c r="Z226">
        <f t="shared" ca="1" si="37"/>
        <v>5.9344867358700242</v>
      </c>
    </row>
    <row r="227" spans="14:26" x14ac:dyDescent="0.25">
      <c r="N227">
        <f t="shared" si="34"/>
        <v>22.000000000000043</v>
      </c>
      <c r="P227">
        <f t="shared" ca="1" si="38"/>
        <v>21.828689925308598</v>
      </c>
      <c r="Q227">
        <f t="shared" ca="1" si="33"/>
        <v>22.161632841151199</v>
      </c>
      <c r="S227">
        <f t="shared" ca="1" si="31"/>
        <v>6.4848985234538503</v>
      </c>
      <c r="T227">
        <f t="shared" ca="1" si="32"/>
        <v>3.9150553944816702</v>
      </c>
      <c r="V227">
        <f t="shared" ca="1" si="35"/>
        <v>5.162629757784595</v>
      </c>
      <c r="Y227">
        <f t="shared" si="36"/>
        <v>22.000000000000043</v>
      </c>
      <c r="Z227">
        <f t="shared" ca="1" si="37"/>
        <v>5.162629757784595</v>
      </c>
    </row>
    <row r="228" spans="14:26" x14ac:dyDescent="0.25">
      <c r="N228">
        <f t="shared" si="34"/>
        <v>22.100000000000044</v>
      </c>
      <c r="P228">
        <f t="shared" ca="1" si="38"/>
        <v>21.828689925308598</v>
      </c>
      <c r="Q228">
        <f t="shared" ca="1" si="33"/>
        <v>22.161632841151199</v>
      </c>
      <c r="S228">
        <f t="shared" ca="1" si="31"/>
        <v>6.4848985234538503</v>
      </c>
      <c r="T228">
        <f t="shared" ca="1" si="32"/>
        <v>3.9150553944816702</v>
      </c>
      <c r="V228">
        <f t="shared" ca="1" si="35"/>
        <v>4.390772779699164</v>
      </c>
      <c r="Y228">
        <f t="shared" si="36"/>
        <v>22.100000000000044</v>
      </c>
      <c r="Z228">
        <f t="shared" ca="1" si="37"/>
        <v>4.390772779699164</v>
      </c>
    </row>
    <row r="229" spans="14:26" x14ac:dyDescent="0.25">
      <c r="N229">
        <f t="shared" si="34"/>
        <v>22.200000000000045</v>
      </c>
      <c r="P229">
        <f t="shared" ca="1" si="38"/>
        <v>22.161632841151199</v>
      </c>
      <c r="Q229">
        <f t="shared" ca="1" si="33"/>
        <v>22.397227395787301</v>
      </c>
      <c r="S229">
        <f t="shared" ca="1" si="31"/>
        <v>3.9150553944816702</v>
      </c>
      <c r="T229">
        <f t="shared" ca="1" si="32"/>
        <v>5.4876058447418403</v>
      </c>
      <c r="V229">
        <f t="shared" ca="1" si="35"/>
        <v>4.1711491442550832</v>
      </c>
      <c r="Y229">
        <f t="shared" si="36"/>
        <v>22.200000000000045</v>
      </c>
      <c r="Z229">
        <f t="shared" ca="1" si="37"/>
        <v>4.1711491442550832</v>
      </c>
    </row>
    <row r="230" spans="14:26" x14ac:dyDescent="0.25">
      <c r="N230">
        <f t="shared" si="34"/>
        <v>22.300000000000047</v>
      </c>
      <c r="P230">
        <f t="shared" ca="1" si="38"/>
        <v>22.161632841151199</v>
      </c>
      <c r="Q230">
        <f t="shared" ca="1" si="33"/>
        <v>22.397227395787301</v>
      </c>
      <c r="S230">
        <f t="shared" ca="1" si="31"/>
        <v>3.9150553944816702</v>
      </c>
      <c r="T230">
        <f t="shared" ca="1" si="32"/>
        <v>5.4876058447418403</v>
      </c>
      <c r="V230">
        <f t="shared" ca="1" si="35"/>
        <v>4.8386308068466271</v>
      </c>
      <c r="Y230">
        <f t="shared" si="36"/>
        <v>22.300000000000047</v>
      </c>
      <c r="Z230">
        <f t="shared" ca="1" si="37"/>
        <v>4.8386308068466271</v>
      </c>
    </row>
    <row r="231" spans="14:26" x14ac:dyDescent="0.25">
      <c r="N231">
        <f t="shared" si="34"/>
        <v>22.400000000000048</v>
      </c>
      <c r="P231">
        <f t="shared" ca="1" si="38"/>
        <v>22.397227395787301</v>
      </c>
      <c r="Q231">
        <f t="shared" ca="1" si="33"/>
        <v>22.804861657802199</v>
      </c>
      <c r="S231">
        <f t="shared" ca="1" si="31"/>
        <v>5.4876058447418403</v>
      </c>
      <c r="T231">
        <f t="shared" ca="1" si="32"/>
        <v>4.39430886503715</v>
      </c>
      <c r="V231">
        <f t="shared" ca="1" si="35"/>
        <v>5.4801695713610652</v>
      </c>
      <c r="Y231">
        <f t="shared" si="36"/>
        <v>22.400000000000048</v>
      </c>
      <c r="Z231">
        <f t="shared" ca="1" si="37"/>
        <v>5.4801695713610652</v>
      </c>
    </row>
    <row r="232" spans="14:26" x14ac:dyDescent="0.25">
      <c r="N232">
        <f t="shared" si="34"/>
        <v>22.50000000000005</v>
      </c>
      <c r="P232">
        <f t="shared" ca="1" si="38"/>
        <v>22.397227395787301</v>
      </c>
      <c r="Q232">
        <f t="shared" ca="1" si="33"/>
        <v>22.804861657802199</v>
      </c>
      <c r="S232">
        <f t="shared" ca="1" si="31"/>
        <v>5.4876058447418403</v>
      </c>
      <c r="T232">
        <f t="shared" ca="1" si="32"/>
        <v>4.39430886503715</v>
      </c>
      <c r="V232">
        <f t="shared" ca="1" si="35"/>
        <v>5.2119642016012611</v>
      </c>
      <c r="Y232">
        <f t="shared" si="36"/>
        <v>22.50000000000005</v>
      </c>
      <c r="Z232">
        <f t="shared" ca="1" si="37"/>
        <v>5.2119642016012611</v>
      </c>
    </row>
    <row r="233" spans="14:26" x14ac:dyDescent="0.25">
      <c r="N233">
        <f t="shared" si="34"/>
        <v>22.600000000000051</v>
      </c>
      <c r="P233">
        <f t="shared" ca="1" si="38"/>
        <v>22.397227395787301</v>
      </c>
      <c r="Q233">
        <f t="shared" ca="1" si="33"/>
        <v>22.804861657802199</v>
      </c>
      <c r="S233">
        <f t="shared" ca="1" si="31"/>
        <v>5.4876058447418403</v>
      </c>
      <c r="T233">
        <f t="shared" ca="1" si="32"/>
        <v>4.39430886503715</v>
      </c>
      <c r="V233">
        <f t="shared" ca="1" si="35"/>
        <v>4.9437588318414569</v>
      </c>
      <c r="Y233">
        <f t="shared" si="36"/>
        <v>22.600000000000051</v>
      </c>
      <c r="Z233">
        <f t="shared" ca="1" si="37"/>
        <v>4.9437588318414569</v>
      </c>
    </row>
    <row r="234" spans="14:26" x14ac:dyDescent="0.25">
      <c r="N234">
        <f t="shared" si="34"/>
        <v>22.700000000000053</v>
      </c>
      <c r="P234">
        <f t="shared" ca="1" si="38"/>
        <v>22.397227395787301</v>
      </c>
      <c r="Q234">
        <f t="shared" ca="1" si="33"/>
        <v>22.804861657802199</v>
      </c>
      <c r="S234">
        <f t="shared" ca="1" si="31"/>
        <v>5.4876058447418403</v>
      </c>
      <c r="T234">
        <f t="shared" ca="1" si="32"/>
        <v>4.39430886503715</v>
      </c>
      <c r="V234">
        <f t="shared" ca="1" si="35"/>
        <v>4.6755534620816537</v>
      </c>
      <c r="Y234">
        <f t="shared" si="36"/>
        <v>22.700000000000053</v>
      </c>
      <c r="Z234">
        <f t="shared" ca="1" si="37"/>
        <v>4.6755534620816537</v>
      </c>
    </row>
    <row r="235" spans="14:26" x14ac:dyDescent="0.25">
      <c r="N235">
        <f t="shared" si="34"/>
        <v>22.800000000000054</v>
      </c>
      <c r="P235">
        <f t="shared" ca="1" si="38"/>
        <v>22.397227395787301</v>
      </c>
      <c r="Q235">
        <f t="shared" ca="1" si="33"/>
        <v>22.804861657802199</v>
      </c>
      <c r="S235">
        <f t="shared" ca="1" si="31"/>
        <v>5.4876058447418403</v>
      </c>
      <c r="T235">
        <f t="shared" ca="1" si="32"/>
        <v>4.39430886503715</v>
      </c>
      <c r="V235">
        <f t="shared" ca="1" si="35"/>
        <v>4.4073480923218495</v>
      </c>
      <c r="Y235">
        <f t="shared" si="36"/>
        <v>22.800000000000054</v>
      </c>
      <c r="Z235">
        <f t="shared" ca="1" si="37"/>
        <v>4.4073480923218495</v>
      </c>
    </row>
    <row r="236" spans="14:26" x14ac:dyDescent="0.25">
      <c r="N236">
        <f t="shared" si="34"/>
        <v>22.900000000000055</v>
      </c>
      <c r="P236">
        <f t="shared" ca="1" si="38"/>
        <v>22.804861657802199</v>
      </c>
      <c r="Q236">
        <f t="shared" ca="1" si="33"/>
        <v>22.964228797450101</v>
      </c>
      <c r="S236">
        <f t="shared" ca="1" si="31"/>
        <v>4.39430886503715</v>
      </c>
      <c r="T236">
        <f t="shared" ca="1" si="32"/>
        <v>4.8712582323688096</v>
      </c>
      <c r="V236">
        <f t="shared" ca="1" si="35"/>
        <v>4.6790361445786068</v>
      </c>
      <c r="Y236">
        <f t="shared" si="36"/>
        <v>22.900000000000055</v>
      </c>
      <c r="Z236">
        <f t="shared" ca="1" si="37"/>
        <v>4.6790361445786068</v>
      </c>
    </row>
    <row r="237" spans="14:26" x14ac:dyDescent="0.25">
      <c r="N237">
        <f t="shared" si="34"/>
        <v>23.000000000000057</v>
      </c>
      <c r="P237">
        <f t="shared" ca="1" si="38"/>
        <v>22.964228797450101</v>
      </c>
      <c r="Q237">
        <f t="shared" ca="1" si="33"/>
        <v>23.1322363241873</v>
      </c>
      <c r="S237">
        <f t="shared" ca="1" si="31"/>
        <v>4.8712582323688096</v>
      </c>
      <c r="T237">
        <f t="shared" ca="1" si="32"/>
        <v>3.20539160154375</v>
      </c>
      <c r="V237">
        <f t="shared" ca="1" si="35"/>
        <v>4.5165714285706207</v>
      </c>
      <c r="Y237">
        <f t="shared" si="36"/>
        <v>23.000000000000057</v>
      </c>
      <c r="Z237">
        <f t="shared" ca="1" si="37"/>
        <v>4.5165714285706207</v>
      </c>
    </row>
    <row r="238" spans="14:26" x14ac:dyDescent="0.25">
      <c r="N238">
        <f t="shared" si="34"/>
        <v>23.100000000000058</v>
      </c>
      <c r="P238">
        <f t="shared" ca="1" si="38"/>
        <v>22.964228797450101</v>
      </c>
      <c r="Q238">
        <f t="shared" ca="1" si="33"/>
        <v>23.1322363241873</v>
      </c>
      <c r="S238">
        <f t="shared" ca="1" si="31"/>
        <v>4.8712582323688096</v>
      </c>
      <c r="T238">
        <f t="shared" ca="1" si="32"/>
        <v>3.20539160154375</v>
      </c>
      <c r="V238">
        <f t="shared" ca="1" si="35"/>
        <v>3.5250285714277574</v>
      </c>
      <c r="Y238">
        <f t="shared" si="36"/>
        <v>23.100000000000058</v>
      </c>
      <c r="Z238">
        <f t="shared" ca="1" si="37"/>
        <v>3.5250285714277574</v>
      </c>
    </row>
    <row r="239" spans="14:26" x14ac:dyDescent="0.25">
      <c r="N239">
        <f t="shared" si="34"/>
        <v>23.20000000000006</v>
      </c>
      <c r="P239">
        <f t="shared" ca="1" si="38"/>
        <v>23.1322363241873</v>
      </c>
      <c r="Q239">
        <f t="shared" ca="1" si="33"/>
        <v>23.4523146636969</v>
      </c>
      <c r="S239">
        <f t="shared" ca="1" si="31"/>
        <v>3.20539160154375</v>
      </c>
      <c r="T239">
        <f t="shared" ca="1" si="32"/>
        <v>3.8259634031604599</v>
      </c>
      <c r="V239">
        <f t="shared" ca="1" si="35"/>
        <v>3.336772645471072</v>
      </c>
      <c r="Y239">
        <f t="shared" si="36"/>
        <v>23.20000000000006</v>
      </c>
      <c r="Z239">
        <f t="shared" ca="1" si="37"/>
        <v>3.336772645471072</v>
      </c>
    </row>
    <row r="240" spans="14:26" x14ac:dyDescent="0.25">
      <c r="N240">
        <f t="shared" si="34"/>
        <v>23.300000000000061</v>
      </c>
      <c r="P240">
        <f t="shared" ca="1" si="38"/>
        <v>23.1322363241873</v>
      </c>
      <c r="Q240">
        <f t="shared" ca="1" si="33"/>
        <v>23.4523146636969</v>
      </c>
      <c r="S240">
        <f t="shared" ca="1" si="31"/>
        <v>3.20539160154375</v>
      </c>
      <c r="T240">
        <f t="shared" ca="1" si="32"/>
        <v>3.8259634031604599</v>
      </c>
      <c r="V240">
        <f t="shared" ca="1" si="35"/>
        <v>3.5306538692263292</v>
      </c>
      <c r="Y240">
        <f t="shared" si="36"/>
        <v>23.300000000000061</v>
      </c>
      <c r="Z240">
        <f t="shared" ca="1" si="37"/>
        <v>3.5306538692263292</v>
      </c>
    </row>
    <row r="241" spans="14:26" x14ac:dyDescent="0.25">
      <c r="N241">
        <f t="shared" si="34"/>
        <v>23.400000000000063</v>
      </c>
      <c r="P241">
        <f t="shared" ca="1" si="38"/>
        <v>23.1322363241873</v>
      </c>
      <c r="Q241">
        <f t="shared" ca="1" si="33"/>
        <v>23.4523146636969</v>
      </c>
      <c r="S241">
        <f t="shared" ca="1" si="31"/>
        <v>3.20539160154375</v>
      </c>
      <c r="T241">
        <f t="shared" ca="1" si="32"/>
        <v>3.8259634031604599</v>
      </c>
      <c r="V241">
        <f t="shared" ca="1" si="35"/>
        <v>3.7245350929815864</v>
      </c>
      <c r="Y241">
        <f t="shared" si="36"/>
        <v>23.400000000000063</v>
      </c>
      <c r="Z241">
        <f t="shared" ca="1" si="37"/>
        <v>3.7245350929815864</v>
      </c>
    </row>
    <row r="242" spans="14:26" x14ac:dyDescent="0.25">
      <c r="N242">
        <f t="shared" si="34"/>
        <v>23.500000000000064</v>
      </c>
      <c r="P242">
        <f t="shared" ca="1" si="38"/>
        <v>23.4523146636969</v>
      </c>
      <c r="Q242">
        <f t="shared" ca="1" si="33"/>
        <v>23.778921295673999</v>
      </c>
      <c r="S242">
        <f t="shared" ca="1" si="31"/>
        <v>3.8259634031604599</v>
      </c>
      <c r="T242">
        <f t="shared" ca="1" si="32"/>
        <v>2.8275186728365398</v>
      </c>
      <c r="V242">
        <f t="shared" ca="1" si="35"/>
        <v>3.6801881246322621</v>
      </c>
      <c r="Y242">
        <f t="shared" si="36"/>
        <v>23.500000000000064</v>
      </c>
      <c r="Z242">
        <f t="shared" ca="1" si="37"/>
        <v>3.6801881246322621</v>
      </c>
    </row>
    <row r="243" spans="14:26" x14ac:dyDescent="0.25">
      <c r="N243">
        <f t="shared" si="34"/>
        <v>23.600000000000065</v>
      </c>
      <c r="P243">
        <f t="shared" ca="1" si="38"/>
        <v>23.4523146636969</v>
      </c>
      <c r="Q243">
        <f t="shared" ca="1" si="33"/>
        <v>23.778921295673999</v>
      </c>
      <c r="S243">
        <f t="shared" ca="1" si="31"/>
        <v>3.8259634031604599</v>
      </c>
      <c r="T243">
        <f t="shared" ca="1" si="32"/>
        <v>2.8275186728365398</v>
      </c>
      <c r="V243">
        <f t="shared" ca="1" si="35"/>
        <v>3.3744855967074949</v>
      </c>
      <c r="Y243">
        <f t="shared" si="36"/>
        <v>23.600000000000065</v>
      </c>
      <c r="Z243">
        <f t="shared" ca="1" si="37"/>
        <v>3.3744855967074949</v>
      </c>
    </row>
    <row r="244" spans="14:26" x14ac:dyDescent="0.25">
      <c r="N244">
        <f t="shared" si="34"/>
        <v>23.700000000000067</v>
      </c>
      <c r="P244">
        <f t="shared" ca="1" si="38"/>
        <v>23.4523146636969</v>
      </c>
      <c r="Q244">
        <f t="shared" ca="1" si="33"/>
        <v>23.778921295673999</v>
      </c>
      <c r="S244">
        <f t="shared" ca="1" si="31"/>
        <v>3.8259634031604599</v>
      </c>
      <c r="T244">
        <f t="shared" ca="1" si="32"/>
        <v>2.8275186728365398</v>
      </c>
      <c r="V244">
        <f t="shared" ca="1" si="35"/>
        <v>3.0687830687827282</v>
      </c>
      <c r="Y244">
        <f t="shared" si="36"/>
        <v>23.700000000000067</v>
      </c>
      <c r="Z244">
        <f t="shared" ca="1" si="37"/>
        <v>3.0687830687827282</v>
      </c>
    </row>
    <row r="245" spans="14:26" x14ac:dyDescent="0.25">
      <c r="N245">
        <f t="shared" si="34"/>
        <v>23.800000000000068</v>
      </c>
      <c r="P245">
        <f t="shared" ca="1" si="38"/>
        <v>23.778921295673999</v>
      </c>
      <c r="Q245">
        <f t="shared" ca="1" si="33"/>
        <v>24.2599028436473</v>
      </c>
      <c r="S245">
        <f t="shared" ca="1" si="31"/>
        <v>2.8275186728365398</v>
      </c>
      <c r="T245">
        <f t="shared" ca="1" si="32"/>
        <v>3.54409477544593</v>
      </c>
      <c r="V245">
        <f t="shared" ca="1" si="35"/>
        <v>2.8589221556887936</v>
      </c>
      <c r="Y245">
        <f t="shared" si="36"/>
        <v>23.800000000000068</v>
      </c>
      <c r="Z245">
        <f t="shared" ca="1" si="37"/>
        <v>2.8589221556887936</v>
      </c>
    </row>
    <row r="246" spans="14:26" x14ac:dyDescent="0.25">
      <c r="N246">
        <f t="shared" si="34"/>
        <v>23.90000000000007</v>
      </c>
      <c r="P246">
        <f t="shared" ca="1" si="38"/>
        <v>23.778921295673999</v>
      </c>
      <c r="Q246">
        <f t="shared" ca="1" si="33"/>
        <v>24.2599028436473</v>
      </c>
      <c r="S246">
        <f t="shared" ca="1" si="31"/>
        <v>2.8275186728365398</v>
      </c>
      <c r="T246">
        <f t="shared" ca="1" si="32"/>
        <v>3.54409477544593</v>
      </c>
      <c r="V246">
        <f t="shared" ca="1" si="35"/>
        <v>3.0079041916169533</v>
      </c>
      <c r="Y246">
        <f t="shared" si="36"/>
        <v>23.90000000000007</v>
      </c>
      <c r="Z246">
        <f t="shared" ca="1" si="37"/>
        <v>3.0079041916169533</v>
      </c>
    </row>
    <row r="247" spans="14:26" x14ac:dyDescent="0.25">
      <c r="N247">
        <f t="shared" si="34"/>
        <v>24.000000000000071</v>
      </c>
      <c r="P247">
        <f t="shared" ca="1" si="38"/>
        <v>23.778921295673999</v>
      </c>
      <c r="Q247">
        <f t="shared" ca="1" si="33"/>
        <v>24.2599028436473</v>
      </c>
      <c r="S247">
        <f t="shared" ca="1" si="31"/>
        <v>2.8275186728365398</v>
      </c>
      <c r="T247">
        <f t="shared" ca="1" si="32"/>
        <v>3.54409477544593</v>
      </c>
      <c r="V247">
        <f t="shared" ca="1" si="35"/>
        <v>3.1568862275451126</v>
      </c>
      <c r="Y247">
        <f t="shared" si="36"/>
        <v>24.000000000000071</v>
      </c>
      <c r="Z247">
        <f t="shared" ca="1" si="37"/>
        <v>3.1568862275451126</v>
      </c>
    </row>
    <row r="248" spans="14:26" x14ac:dyDescent="0.25">
      <c r="N248">
        <f t="shared" si="34"/>
        <v>24.100000000000072</v>
      </c>
      <c r="P248">
        <f t="shared" ca="1" si="38"/>
        <v>23.778921295673999</v>
      </c>
      <c r="Q248">
        <f t="shared" ca="1" si="33"/>
        <v>24.2599028436473</v>
      </c>
      <c r="S248">
        <f t="shared" ca="1" si="31"/>
        <v>2.8275186728365398</v>
      </c>
      <c r="T248">
        <f t="shared" ca="1" si="32"/>
        <v>3.54409477544593</v>
      </c>
      <c r="V248">
        <f t="shared" ca="1" si="35"/>
        <v>3.3058682634732723</v>
      </c>
      <c r="Y248">
        <f t="shared" si="36"/>
        <v>24.100000000000072</v>
      </c>
      <c r="Z248">
        <f t="shared" ca="1" si="37"/>
        <v>3.3058682634732723</v>
      </c>
    </row>
    <row r="249" spans="14:26" x14ac:dyDescent="0.25">
      <c r="N249">
        <f t="shared" si="34"/>
        <v>24.200000000000074</v>
      </c>
      <c r="P249">
        <f t="shared" ca="1" si="38"/>
        <v>23.778921295673999</v>
      </c>
      <c r="Q249">
        <f t="shared" ca="1" si="33"/>
        <v>24.2599028436473</v>
      </c>
      <c r="S249">
        <f t="shared" ca="1" si="31"/>
        <v>2.8275186728365398</v>
      </c>
      <c r="T249">
        <f t="shared" ca="1" si="32"/>
        <v>3.54409477544593</v>
      </c>
      <c r="V249">
        <f t="shared" ca="1" si="35"/>
        <v>3.4548502994014316</v>
      </c>
      <c r="Y249">
        <f t="shared" si="36"/>
        <v>24.200000000000074</v>
      </c>
      <c r="Z249">
        <f t="shared" ca="1" si="37"/>
        <v>3.4548502994014316</v>
      </c>
    </row>
    <row r="250" spans="14:26" x14ac:dyDescent="0.25">
      <c r="N250">
        <f t="shared" si="34"/>
        <v>24.300000000000075</v>
      </c>
      <c r="P250">
        <f t="shared" ca="1" si="38"/>
        <v>24.2599028436473</v>
      </c>
      <c r="Q250">
        <f t="shared" ca="1" si="33"/>
        <v>24.576909045525198</v>
      </c>
      <c r="S250">
        <f t="shared" ca="1" si="31"/>
        <v>3.54409477544593</v>
      </c>
      <c r="T250">
        <f t="shared" ca="1" si="32"/>
        <v>4.9265567097405896</v>
      </c>
      <c r="V250">
        <f t="shared" ca="1" si="35"/>
        <v>3.7189582071478888</v>
      </c>
      <c r="Y250">
        <f t="shared" si="36"/>
        <v>24.300000000000075</v>
      </c>
      <c r="Z250">
        <f t="shared" ca="1" si="37"/>
        <v>3.7189582071478888</v>
      </c>
    </row>
    <row r="251" spans="14:26" x14ac:dyDescent="0.25">
      <c r="N251">
        <f t="shared" si="34"/>
        <v>24.400000000000077</v>
      </c>
      <c r="P251">
        <f t="shared" ca="1" si="38"/>
        <v>24.2599028436473</v>
      </c>
      <c r="Q251">
        <f t="shared" ca="1" si="33"/>
        <v>24.576909045525198</v>
      </c>
      <c r="S251">
        <f t="shared" ca="1" si="31"/>
        <v>3.54409477544593</v>
      </c>
      <c r="T251">
        <f t="shared" ca="1" si="32"/>
        <v>4.9265567097405896</v>
      </c>
      <c r="V251">
        <f t="shared" ca="1" si="35"/>
        <v>4.1550575408849504</v>
      </c>
      <c r="Y251">
        <f t="shared" si="36"/>
        <v>24.400000000000077</v>
      </c>
      <c r="Z251">
        <f t="shared" ca="1" si="37"/>
        <v>4.1550575408849504</v>
      </c>
    </row>
    <row r="252" spans="14:26" x14ac:dyDescent="0.25">
      <c r="N252">
        <f t="shared" si="34"/>
        <v>24.500000000000078</v>
      </c>
      <c r="P252">
        <f t="shared" ca="1" si="38"/>
        <v>24.2599028436473</v>
      </c>
      <c r="Q252">
        <f t="shared" ca="1" si="33"/>
        <v>24.576909045525198</v>
      </c>
      <c r="S252">
        <f t="shared" ca="1" si="31"/>
        <v>3.54409477544593</v>
      </c>
      <c r="T252">
        <f t="shared" ca="1" si="32"/>
        <v>4.9265567097405896</v>
      </c>
      <c r="V252">
        <f t="shared" ca="1" si="35"/>
        <v>4.5911568746220119</v>
      </c>
      <c r="Y252">
        <f t="shared" si="36"/>
        <v>24.500000000000078</v>
      </c>
      <c r="Z252">
        <f t="shared" ca="1" si="37"/>
        <v>4.5911568746220119</v>
      </c>
    </row>
    <row r="253" spans="14:26" x14ac:dyDescent="0.25">
      <c r="N253">
        <f t="shared" si="34"/>
        <v>24.60000000000008</v>
      </c>
      <c r="P253">
        <f t="shared" ca="1" si="38"/>
        <v>24.576909045525198</v>
      </c>
      <c r="Q253">
        <f t="shared" ca="1" si="33"/>
        <v>25.234538507325102</v>
      </c>
      <c r="S253">
        <f t="shared" ca="1" si="31"/>
        <v>4.9265567097405896</v>
      </c>
      <c r="T253">
        <f t="shared" ca="1" si="32"/>
        <v>1.8344501833682101</v>
      </c>
      <c r="V253">
        <f t="shared" ca="1" si="35"/>
        <v>4.817985401459282</v>
      </c>
      <c r="Y253">
        <f t="shared" si="36"/>
        <v>24.60000000000008</v>
      </c>
      <c r="Z253">
        <f t="shared" ca="1" si="37"/>
        <v>4.817985401459282</v>
      </c>
    </row>
    <row r="254" spans="14:26" x14ac:dyDescent="0.25">
      <c r="N254">
        <f t="shared" si="34"/>
        <v>24.700000000000081</v>
      </c>
      <c r="P254">
        <f t="shared" ca="1" si="38"/>
        <v>24.576909045525198</v>
      </c>
      <c r="Q254">
        <f t="shared" ca="1" si="33"/>
        <v>25.234538507325102</v>
      </c>
      <c r="S254">
        <f t="shared" ca="1" si="31"/>
        <v>4.9265567097405896</v>
      </c>
      <c r="T254">
        <f t="shared" ca="1" si="32"/>
        <v>1.8344501833682101</v>
      </c>
      <c r="V254">
        <f t="shared" ca="1" si="35"/>
        <v>4.3477956204373882</v>
      </c>
      <c r="Y254">
        <f t="shared" si="36"/>
        <v>24.700000000000081</v>
      </c>
      <c r="Z254">
        <f t="shared" ca="1" si="37"/>
        <v>4.3477956204373882</v>
      </c>
    </row>
    <row r="255" spans="14:26" x14ac:dyDescent="0.25">
      <c r="N255">
        <f t="shared" si="34"/>
        <v>24.800000000000082</v>
      </c>
      <c r="P255">
        <f t="shared" ca="1" si="38"/>
        <v>24.576909045525198</v>
      </c>
      <c r="Q255">
        <f t="shared" ca="1" si="33"/>
        <v>25.234538507325102</v>
      </c>
      <c r="S255">
        <f t="shared" ca="1" si="31"/>
        <v>4.9265567097405896</v>
      </c>
      <c r="T255">
        <f t="shared" ca="1" si="32"/>
        <v>1.8344501833682101</v>
      </c>
      <c r="V255">
        <f t="shared" ca="1" si="35"/>
        <v>3.8776058394154944</v>
      </c>
      <c r="Y255">
        <f t="shared" si="36"/>
        <v>24.800000000000082</v>
      </c>
      <c r="Z255">
        <f t="shared" ca="1" si="37"/>
        <v>3.8776058394154944</v>
      </c>
    </row>
    <row r="256" spans="14:26" x14ac:dyDescent="0.25">
      <c r="N256">
        <f t="shared" si="34"/>
        <v>24.900000000000084</v>
      </c>
      <c r="P256">
        <f t="shared" ca="1" si="38"/>
        <v>24.576909045525198</v>
      </c>
      <c r="Q256">
        <f t="shared" ca="1" si="33"/>
        <v>25.234538507325102</v>
      </c>
      <c r="S256">
        <f t="shared" ca="1" si="31"/>
        <v>4.9265567097405896</v>
      </c>
      <c r="T256">
        <f t="shared" ca="1" si="32"/>
        <v>1.8344501833682101</v>
      </c>
      <c r="V256">
        <f t="shared" ca="1" si="35"/>
        <v>3.4074160583936006</v>
      </c>
      <c r="Y256">
        <f t="shared" si="36"/>
        <v>24.900000000000084</v>
      </c>
      <c r="Z256">
        <f t="shared" ca="1" si="37"/>
        <v>3.4074160583936006</v>
      </c>
    </row>
    <row r="257" spans="14:26" x14ac:dyDescent="0.25">
      <c r="N257">
        <f t="shared" si="34"/>
        <v>25.000000000000085</v>
      </c>
      <c r="P257">
        <f t="shared" ca="1" si="38"/>
        <v>24.576909045525198</v>
      </c>
      <c r="Q257">
        <f t="shared" ca="1" si="33"/>
        <v>25.234538507325102</v>
      </c>
      <c r="S257">
        <f t="shared" ca="1" si="31"/>
        <v>4.9265567097405896</v>
      </c>
      <c r="T257">
        <f t="shared" ca="1" si="32"/>
        <v>1.8344501833682101</v>
      </c>
      <c r="V257">
        <f t="shared" ca="1" si="35"/>
        <v>2.9372262773717068</v>
      </c>
      <c r="Y257">
        <f t="shared" si="36"/>
        <v>25.000000000000085</v>
      </c>
      <c r="Z257">
        <f t="shared" ca="1" si="37"/>
        <v>2.9372262773717068</v>
      </c>
    </row>
    <row r="258" spans="14:26" x14ac:dyDescent="0.25">
      <c r="N258">
        <f t="shared" si="34"/>
        <v>25.100000000000087</v>
      </c>
      <c r="P258">
        <f t="shared" ca="1" si="38"/>
        <v>24.576909045525198</v>
      </c>
      <c r="Q258">
        <f t="shared" ca="1" si="33"/>
        <v>25.234538507325102</v>
      </c>
      <c r="S258">
        <f t="shared" ca="1" si="31"/>
        <v>4.9265567097405896</v>
      </c>
      <c r="T258">
        <f t="shared" ca="1" si="32"/>
        <v>1.8344501833682101</v>
      </c>
      <c r="V258">
        <f t="shared" ca="1" si="35"/>
        <v>2.467036496349813</v>
      </c>
      <c r="Y258">
        <f t="shared" si="36"/>
        <v>25.100000000000087</v>
      </c>
      <c r="Z258">
        <f t="shared" ca="1" si="37"/>
        <v>2.467036496349813</v>
      </c>
    </row>
    <row r="259" spans="14:26" x14ac:dyDescent="0.25">
      <c r="N259">
        <f t="shared" si="34"/>
        <v>25.200000000000088</v>
      </c>
      <c r="P259">
        <f t="shared" ca="1" si="38"/>
        <v>24.576909045525198</v>
      </c>
      <c r="Q259">
        <f t="shared" ca="1" si="33"/>
        <v>25.234538507325102</v>
      </c>
      <c r="S259">
        <f t="shared" ca="1" si="31"/>
        <v>4.9265567097405896</v>
      </c>
      <c r="T259">
        <f t="shared" ca="1" si="32"/>
        <v>1.8344501833682101</v>
      </c>
      <c r="V259">
        <f t="shared" ca="1" si="35"/>
        <v>1.9968467153279197</v>
      </c>
      <c r="Y259">
        <f t="shared" si="36"/>
        <v>25.200000000000088</v>
      </c>
      <c r="Z259">
        <f t="shared" ca="1" si="37"/>
        <v>1.9968467153279197</v>
      </c>
    </row>
    <row r="260" spans="14:26" x14ac:dyDescent="0.25">
      <c r="N260">
        <f t="shared" si="34"/>
        <v>25.30000000000009</v>
      </c>
      <c r="P260">
        <f t="shared" ca="1" si="38"/>
        <v>25.234538507325102</v>
      </c>
      <c r="Q260">
        <f t="shared" ca="1" si="33"/>
        <v>25.556536932854499</v>
      </c>
      <c r="S260">
        <f t="shared" ca="1" si="31"/>
        <v>1.8344501833682101</v>
      </c>
      <c r="T260">
        <f t="shared" ca="1" si="32"/>
        <v>1.9788406520612101</v>
      </c>
      <c r="V260">
        <f t="shared" ca="1" si="35"/>
        <v>1.8638044126416757</v>
      </c>
      <c r="Y260">
        <f t="shared" si="36"/>
        <v>25.30000000000009</v>
      </c>
      <c r="Z260">
        <f t="shared" ca="1" si="37"/>
        <v>1.8638044126416757</v>
      </c>
    </row>
    <row r="261" spans="14:26" x14ac:dyDescent="0.25">
      <c r="N261">
        <f t="shared" si="34"/>
        <v>25.400000000000091</v>
      </c>
      <c r="P261">
        <f t="shared" ca="1" si="38"/>
        <v>25.234538507325102</v>
      </c>
      <c r="Q261">
        <f t="shared" ca="1" si="33"/>
        <v>25.556536932854499</v>
      </c>
      <c r="S261">
        <f t="shared" ca="1" si="31"/>
        <v>1.8344501833682101</v>
      </c>
      <c r="T261">
        <f t="shared" ca="1" si="32"/>
        <v>1.9788406520612101</v>
      </c>
      <c r="V261">
        <f t="shared" ca="1" si="35"/>
        <v>1.9086463923673871</v>
      </c>
      <c r="Y261">
        <f t="shared" si="36"/>
        <v>25.400000000000091</v>
      </c>
      <c r="Z261">
        <f t="shared" ca="1" si="37"/>
        <v>1.9086463923673871</v>
      </c>
    </row>
    <row r="262" spans="14:26" x14ac:dyDescent="0.25">
      <c r="N262">
        <f t="shared" si="34"/>
        <v>25.500000000000092</v>
      </c>
      <c r="P262">
        <f t="shared" ca="1" si="38"/>
        <v>25.234538507325102</v>
      </c>
      <c r="Q262">
        <f t="shared" ca="1" si="33"/>
        <v>25.556536932854499</v>
      </c>
      <c r="S262">
        <f t="shared" ca="1" si="31"/>
        <v>1.8344501833682101</v>
      </c>
      <c r="T262">
        <f t="shared" ca="1" si="32"/>
        <v>1.9788406520612101</v>
      </c>
      <c r="V262">
        <f t="shared" ca="1" si="35"/>
        <v>1.9534883720930984</v>
      </c>
      <c r="Y262">
        <f t="shared" si="36"/>
        <v>25.500000000000092</v>
      </c>
      <c r="Z262">
        <f t="shared" ca="1" si="37"/>
        <v>1.9534883720930984</v>
      </c>
    </row>
    <row r="263" spans="14:26" x14ac:dyDescent="0.25">
      <c r="N263">
        <f t="shared" si="34"/>
        <v>25.600000000000094</v>
      </c>
      <c r="P263">
        <f t="shared" ca="1" si="38"/>
        <v>25.556536932854499</v>
      </c>
      <c r="Q263">
        <f t="shared" ca="1" si="33"/>
        <v>25.7203202703481</v>
      </c>
      <c r="S263">
        <f t="shared" ca="1" si="31"/>
        <v>1.9788406520612101</v>
      </c>
      <c r="T263">
        <f t="shared" ca="1" si="32"/>
        <v>1.36057295366832</v>
      </c>
      <c r="V263">
        <f t="shared" ca="1" si="35"/>
        <v>1.8147713950755757</v>
      </c>
      <c r="Y263">
        <f t="shared" si="36"/>
        <v>25.600000000000094</v>
      </c>
      <c r="Z263">
        <f t="shared" ca="1" si="37"/>
        <v>1.8147713950755757</v>
      </c>
    </row>
    <row r="264" spans="14:26" x14ac:dyDescent="0.25">
      <c r="N264">
        <f t="shared" si="34"/>
        <v>25.700000000000095</v>
      </c>
      <c r="P264">
        <f t="shared" ca="1" si="38"/>
        <v>25.556536932854499</v>
      </c>
      <c r="Q264">
        <f t="shared" ca="1" si="33"/>
        <v>25.7203202703481</v>
      </c>
      <c r="S264">
        <f t="shared" ref="S264:S327" ca="1" si="39">OFFSET($J$7,MATCH($N264,$I$7:$I$143,1)-1,0)</f>
        <v>1.9788406520612101</v>
      </c>
      <c r="T264">
        <f t="shared" ref="T264:T327" ca="1" si="40">OFFSET($J$7,MATCH($N264,$I$7:$I$143,1),0)</f>
        <v>1.36057295366832</v>
      </c>
      <c r="V264">
        <f t="shared" ca="1" si="35"/>
        <v>1.4372801875728269</v>
      </c>
      <c r="Y264">
        <f t="shared" si="36"/>
        <v>25.700000000000095</v>
      </c>
      <c r="Z264">
        <f t="shared" ca="1" si="37"/>
        <v>1.4372801875728269</v>
      </c>
    </row>
    <row r="265" spans="14:26" x14ac:dyDescent="0.25">
      <c r="N265">
        <f t="shared" si="34"/>
        <v>25.800000000000097</v>
      </c>
      <c r="P265">
        <f t="shared" ca="1" si="38"/>
        <v>25.7203202703481</v>
      </c>
      <c r="Q265">
        <f t="shared" ca="1" si="33"/>
        <v>25.965899272287398</v>
      </c>
      <c r="S265">
        <f t="shared" ca="1" si="39"/>
        <v>1.36057295366832</v>
      </c>
      <c r="T265">
        <f t="shared" ca="1" si="40"/>
        <v>0.456980472725177</v>
      </c>
      <c r="V265">
        <f t="shared" ca="1" si="35"/>
        <v>1.0673964034398007</v>
      </c>
      <c r="Y265">
        <f t="shared" si="36"/>
        <v>25.800000000000097</v>
      </c>
      <c r="Z265">
        <f t="shared" ca="1" si="37"/>
        <v>1.0673964034398007</v>
      </c>
    </row>
    <row r="266" spans="14:26" x14ac:dyDescent="0.25">
      <c r="N266">
        <f t="shared" si="34"/>
        <v>25.900000000000098</v>
      </c>
      <c r="P266">
        <f t="shared" ca="1" si="38"/>
        <v>25.7203202703481</v>
      </c>
      <c r="Q266">
        <f t="shared" ca="1" si="33"/>
        <v>25.965899272287398</v>
      </c>
      <c r="S266">
        <f t="shared" ca="1" si="39"/>
        <v>1.36057295366832</v>
      </c>
      <c r="T266">
        <f t="shared" ca="1" si="40"/>
        <v>0.456980472725177</v>
      </c>
      <c r="V266">
        <f t="shared" ca="1" si="35"/>
        <v>0.69945269741948479</v>
      </c>
      <c r="Y266">
        <f t="shared" si="36"/>
        <v>25.900000000000098</v>
      </c>
      <c r="Z266">
        <f t="shared" ca="1" si="37"/>
        <v>0.69945269741948479</v>
      </c>
    </row>
    <row r="267" spans="14:26" x14ac:dyDescent="0.25">
      <c r="N267">
        <f t="shared" si="34"/>
        <v>26.000000000000099</v>
      </c>
      <c r="P267">
        <f t="shared" ca="1" si="38"/>
        <v>25.965899272287398</v>
      </c>
      <c r="Q267">
        <f t="shared" ref="Q267:Q330" ca="1" si="41">OFFSET($I$7,MATCH($N267,$I$7:$I$143,1),0)</f>
        <v>26.120082179681599</v>
      </c>
      <c r="S267">
        <f t="shared" ca="1" si="39"/>
        <v>0.456980472725177</v>
      </c>
      <c r="T267">
        <f t="shared" ca="1" si="40"/>
        <v>2.2196194389508599</v>
      </c>
      <c r="V267">
        <f t="shared" ca="1" si="35"/>
        <v>0.84682440846950868</v>
      </c>
      <c r="Y267">
        <f t="shared" si="36"/>
        <v>26.000000000000099</v>
      </c>
      <c r="Z267">
        <f t="shared" ca="1" si="37"/>
        <v>0.84682440846950868</v>
      </c>
    </row>
    <row r="268" spans="14:26" x14ac:dyDescent="0.25">
      <c r="N268">
        <f t="shared" si="34"/>
        <v>26.100000000000101</v>
      </c>
      <c r="P268">
        <f t="shared" ca="1" si="38"/>
        <v>25.965899272287398</v>
      </c>
      <c r="Q268">
        <f t="shared" ca="1" si="41"/>
        <v>26.120082179681599</v>
      </c>
      <c r="S268">
        <f t="shared" ca="1" si="39"/>
        <v>0.456980472725177</v>
      </c>
      <c r="T268">
        <f t="shared" ca="1" si="40"/>
        <v>2.2196194389508599</v>
      </c>
      <c r="V268">
        <f t="shared" ca="1" si="35"/>
        <v>1.9900373599020234</v>
      </c>
      <c r="Y268">
        <f t="shared" si="36"/>
        <v>26.100000000000101</v>
      </c>
      <c r="Z268">
        <f t="shared" ca="1" si="37"/>
        <v>1.9900373599020234</v>
      </c>
    </row>
    <row r="269" spans="14:26" x14ac:dyDescent="0.25">
      <c r="N269">
        <f t="shared" si="34"/>
        <v>26.200000000000102</v>
      </c>
      <c r="P269">
        <f t="shared" ca="1" si="38"/>
        <v>26.120082179681599</v>
      </c>
      <c r="Q269">
        <f t="shared" ca="1" si="41"/>
        <v>26.7686872371882</v>
      </c>
      <c r="S269">
        <f t="shared" ca="1" si="39"/>
        <v>2.2196194389508599</v>
      </c>
      <c r="T269">
        <f t="shared" ca="1" si="40"/>
        <v>1.36556517731994</v>
      </c>
      <c r="V269">
        <f t="shared" ca="1" si="35"/>
        <v>2.1143872113674709</v>
      </c>
      <c r="Y269">
        <f t="shared" si="36"/>
        <v>26.200000000000102</v>
      </c>
      <c r="Z269">
        <f t="shared" ca="1" si="37"/>
        <v>2.1143872113674709</v>
      </c>
    </row>
    <row r="270" spans="14:26" x14ac:dyDescent="0.25">
      <c r="N270">
        <f t="shared" si="34"/>
        <v>26.300000000000104</v>
      </c>
      <c r="P270">
        <f t="shared" ca="1" si="38"/>
        <v>26.120082179681599</v>
      </c>
      <c r="Q270">
        <f t="shared" ca="1" si="41"/>
        <v>26.7686872371882</v>
      </c>
      <c r="S270">
        <f t="shared" ca="1" si="39"/>
        <v>2.2196194389508599</v>
      </c>
      <c r="T270">
        <f t="shared" ca="1" si="40"/>
        <v>1.36556517731994</v>
      </c>
      <c r="V270">
        <f t="shared" ca="1" si="35"/>
        <v>1.9827116637061362</v>
      </c>
      <c r="Y270">
        <f t="shared" si="36"/>
        <v>26.300000000000104</v>
      </c>
      <c r="Z270">
        <f t="shared" ca="1" si="37"/>
        <v>1.9827116637061362</v>
      </c>
    </row>
    <row r="271" spans="14:26" x14ac:dyDescent="0.25">
      <c r="N271">
        <f t="shared" si="34"/>
        <v>26.400000000000105</v>
      </c>
      <c r="P271">
        <f t="shared" ca="1" si="38"/>
        <v>26.120082179681599</v>
      </c>
      <c r="Q271">
        <f t="shared" ca="1" si="41"/>
        <v>26.7686872371882</v>
      </c>
      <c r="S271">
        <f t="shared" ca="1" si="39"/>
        <v>2.2196194389508599</v>
      </c>
      <c r="T271">
        <f t="shared" ca="1" si="40"/>
        <v>1.36556517731994</v>
      </c>
      <c r="V271">
        <f t="shared" ca="1" si="35"/>
        <v>1.8510361160448014</v>
      </c>
      <c r="Y271">
        <f t="shared" si="36"/>
        <v>26.400000000000105</v>
      </c>
      <c r="Z271">
        <f t="shared" ca="1" si="37"/>
        <v>1.8510361160448014</v>
      </c>
    </row>
    <row r="272" spans="14:26" x14ac:dyDescent="0.25">
      <c r="N272">
        <f t="shared" si="34"/>
        <v>26.500000000000107</v>
      </c>
      <c r="P272">
        <f t="shared" ca="1" si="38"/>
        <v>26.120082179681599</v>
      </c>
      <c r="Q272">
        <f t="shared" ca="1" si="41"/>
        <v>26.7686872371882</v>
      </c>
      <c r="S272">
        <f t="shared" ca="1" si="39"/>
        <v>2.2196194389508599</v>
      </c>
      <c r="T272">
        <f t="shared" ca="1" si="40"/>
        <v>1.36556517731994</v>
      </c>
      <c r="V272">
        <f t="shared" ca="1" si="35"/>
        <v>1.7193605683834665</v>
      </c>
      <c r="Y272">
        <f t="shared" si="36"/>
        <v>26.500000000000107</v>
      </c>
      <c r="Z272">
        <f t="shared" ca="1" si="37"/>
        <v>1.7193605683834665</v>
      </c>
    </row>
    <row r="273" spans="14:26" x14ac:dyDescent="0.25">
      <c r="N273">
        <f t="shared" ref="N273:N336" si="42">IF(N272&lt;$I$2,N272+(1/N$2),"")</f>
        <v>26.600000000000108</v>
      </c>
      <c r="P273">
        <f t="shared" ca="1" si="38"/>
        <v>26.120082179681599</v>
      </c>
      <c r="Q273">
        <f t="shared" ca="1" si="41"/>
        <v>26.7686872371882</v>
      </c>
      <c r="S273">
        <f t="shared" ca="1" si="39"/>
        <v>2.2196194389508599</v>
      </c>
      <c r="T273">
        <f t="shared" ca="1" si="40"/>
        <v>1.36556517731994</v>
      </c>
      <c r="V273">
        <f t="shared" ref="V273:V336" ca="1" si="43">IFERROR(S273+(T273-S273)*((N273-P273)/(Q273-P273)),"")</f>
        <v>1.5876850207221316</v>
      </c>
      <c r="Y273">
        <f t="shared" ref="Y273:Y336" si="44">IF(ISNUMBER(N273),N273,NA())</f>
        <v>26.600000000000108</v>
      </c>
      <c r="Z273">
        <f t="shared" ref="Z273:Z336" ca="1" si="45">IF(ISNUMBER(V273),V273,NA())</f>
        <v>1.5876850207221316</v>
      </c>
    </row>
    <row r="274" spans="14:26" x14ac:dyDescent="0.25">
      <c r="N274">
        <f t="shared" si="42"/>
        <v>26.700000000000109</v>
      </c>
      <c r="P274">
        <f t="shared" ca="1" si="38"/>
        <v>26.120082179681599</v>
      </c>
      <c r="Q274">
        <f t="shared" ca="1" si="41"/>
        <v>26.7686872371882</v>
      </c>
      <c r="S274">
        <f t="shared" ca="1" si="39"/>
        <v>2.2196194389508599</v>
      </c>
      <c r="T274">
        <f t="shared" ca="1" si="40"/>
        <v>1.36556517731994</v>
      </c>
      <c r="V274">
        <f t="shared" ca="1" si="43"/>
        <v>1.4560094730607966</v>
      </c>
      <c r="Y274">
        <f t="shared" si="44"/>
        <v>26.700000000000109</v>
      </c>
      <c r="Z274">
        <f t="shared" ca="1" si="45"/>
        <v>1.4560094730607966</v>
      </c>
    </row>
    <row r="275" spans="14:26" x14ac:dyDescent="0.25">
      <c r="N275">
        <f t="shared" si="42"/>
        <v>26.800000000000111</v>
      </c>
      <c r="P275">
        <f t="shared" ca="1" si="38"/>
        <v>26.7686872371882</v>
      </c>
      <c r="Q275">
        <f t="shared" ca="1" si="41"/>
        <v>26.8468347381962</v>
      </c>
      <c r="S275">
        <f t="shared" ca="1" si="39"/>
        <v>1.36556517731994</v>
      </c>
      <c r="T275">
        <f t="shared" ca="1" si="40"/>
        <v>1.98498492732474</v>
      </c>
      <c r="V275">
        <f t="shared" ca="1" si="43"/>
        <v>1.6137592137604382</v>
      </c>
      <c r="Y275">
        <f t="shared" si="44"/>
        <v>26.800000000000111</v>
      </c>
      <c r="Z275">
        <f t="shared" ca="1" si="45"/>
        <v>1.6137592137604382</v>
      </c>
    </row>
    <row r="276" spans="14:26" x14ac:dyDescent="0.25">
      <c r="N276">
        <f t="shared" si="42"/>
        <v>26.900000000000112</v>
      </c>
      <c r="P276">
        <f t="shared" ca="1" si="38"/>
        <v>26.8468347381962</v>
      </c>
      <c r="Q276">
        <f t="shared" ca="1" si="41"/>
        <v>27.241412415276201</v>
      </c>
      <c r="S276">
        <f t="shared" ca="1" si="39"/>
        <v>1.98498492732474</v>
      </c>
      <c r="T276">
        <f t="shared" ca="1" si="40"/>
        <v>4.1297210115013101</v>
      </c>
      <c r="V276">
        <f t="shared" ca="1" si="43"/>
        <v>2.2739659367406002</v>
      </c>
      <c r="Y276">
        <f t="shared" si="44"/>
        <v>26.900000000000112</v>
      </c>
      <c r="Z276">
        <f t="shared" ca="1" si="45"/>
        <v>2.2739659367406002</v>
      </c>
    </row>
    <row r="277" spans="14:26" x14ac:dyDescent="0.25">
      <c r="N277">
        <f t="shared" si="42"/>
        <v>27.000000000000114</v>
      </c>
      <c r="P277">
        <f t="shared" ca="1" si="38"/>
        <v>26.8468347381962</v>
      </c>
      <c r="Q277">
        <f t="shared" ca="1" si="41"/>
        <v>27.241412415276201</v>
      </c>
      <c r="S277">
        <f t="shared" ca="1" si="39"/>
        <v>1.98498492732474</v>
      </c>
      <c r="T277">
        <f t="shared" ca="1" si="40"/>
        <v>4.1297210115013101</v>
      </c>
      <c r="V277">
        <f t="shared" ca="1" si="43"/>
        <v>2.8175182481760372</v>
      </c>
      <c r="Y277">
        <f t="shared" si="44"/>
        <v>27.000000000000114</v>
      </c>
      <c r="Z277">
        <f t="shared" ca="1" si="45"/>
        <v>2.8175182481760372</v>
      </c>
    </row>
    <row r="278" spans="14:26" x14ac:dyDescent="0.25">
      <c r="N278">
        <f t="shared" si="42"/>
        <v>27.100000000000115</v>
      </c>
      <c r="P278">
        <f t="shared" ca="1" si="38"/>
        <v>26.8468347381962</v>
      </c>
      <c r="Q278">
        <f t="shared" ca="1" si="41"/>
        <v>27.241412415276201</v>
      </c>
      <c r="S278">
        <f t="shared" ca="1" si="39"/>
        <v>1.98498492732474</v>
      </c>
      <c r="T278">
        <f t="shared" ca="1" si="40"/>
        <v>4.1297210115013101</v>
      </c>
      <c r="V278">
        <f t="shared" ca="1" si="43"/>
        <v>3.3610705596114743</v>
      </c>
      <c r="Y278">
        <f t="shared" si="44"/>
        <v>27.100000000000115</v>
      </c>
      <c r="Z278">
        <f t="shared" ca="1" si="45"/>
        <v>3.3610705596114743</v>
      </c>
    </row>
    <row r="279" spans="14:26" x14ac:dyDescent="0.25">
      <c r="N279">
        <f t="shared" si="42"/>
        <v>27.200000000000117</v>
      </c>
      <c r="P279">
        <f t="shared" ca="1" si="38"/>
        <v>26.8468347381962</v>
      </c>
      <c r="Q279">
        <f t="shared" ca="1" si="41"/>
        <v>27.241412415276201</v>
      </c>
      <c r="S279">
        <f t="shared" ca="1" si="39"/>
        <v>1.98498492732474</v>
      </c>
      <c r="T279">
        <f t="shared" ca="1" si="40"/>
        <v>4.1297210115013101</v>
      </c>
      <c r="V279">
        <f t="shared" ca="1" si="43"/>
        <v>3.9046228710469117</v>
      </c>
      <c r="Y279">
        <f t="shared" si="44"/>
        <v>27.200000000000117</v>
      </c>
      <c r="Z279">
        <f t="shared" ca="1" si="45"/>
        <v>3.9046228710469117</v>
      </c>
    </row>
    <row r="280" spans="14:26" x14ac:dyDescent="0.25">
      <c r="N280">
        <f t="shared" si="42"/>
        <v>27.300000000000118</v>
      </c>
      <c r="P280">
        <f t="shared" ca="1" si="38"/>
        <v>27.241412415276201</v>
      </c>
      <c r="Q280">
        <f t="shared" ca="1" si="41"/>
        <v>27.4889115032353</v>
      </c>
      <c r="S280">
        <f t="shared" ca="1" si="39"/>
        <v>4.1297210115013101</v>
      </c>
      <c r="T280">
        <f t="shared" ca="1" si="40"/>
        <v>2.7499471976344498</v>
      </c>
      <c r="V280">
        <f t="shared" ca="1" si="43"/>
        <v>3.8031031807595452</v>
      </c>
      <c r="Y280">
        <f t="shared" si="44"/>
        <v>27.300000000000118</v>
      </c>
      <c r="Z280">
        <f t="shared" ca="1" si="45"/>
        <v>3.8031031807595452</v>
      </c>
    </row>
    <row r="281" spans="14:26" x14ac:dyDescent="0.25">
      <c r="N281">
        <f t="shared" si="42"/>
        <v>27.400000000000119</v>
      </c>
      <c r="P281">
        <f t="shared" ca="1" si="38"/>
        <v>27.241412415276201</v>
      </c>
      <c r="Q281">
        <f t="shared" ca="1" si="41"/>
        <v>27.4889115032353</v>
      </c>
      <c r="S281">
        <f t="shared" ca="1" si="39"/>
        <v>4.1297210115013101</v>
      </c>
      <c r="T281">
        <f t="shared" ca="1" si="40"/>
        <v>2.7499471976344498</v>
      </c>
      <c r="V281">
        <f t="shared" ca="1" si="43"/>
        <v>3.2456167571752705</v>
      </c>
      <c r="Y281">
        <f t="shared" si="44"/>
        <v>27.400000000000119</v>
      </c>
      <c r="Z281">
        <f t="shared" ca="1" si="45"/>
        <v>3.2456167571752705</v>
      </c>
    </row>
    <row r="282" spans="14:26" x14ac:dyDescent="0.25">
      <c r="N282">
        <f t="shared" si="42"/>
        <v>27.500000000000121</v>
      </c>
      <c r="P282">
        <f t="shared" ca="1" si="38"/>
        <v>27.4889115032353</v>
      </c>
      <c r="Q282">
        <f t="shared" ca="1" si="41"/>
        <v>27.810525911560799</v>
      </c>
      <c r="S282">
        <f t="shared" ca="1" si="39"/>
        <v>2.7499471976344498</v>
      </c>
      <c r="T282">
        <f t="shared" ca="1" si="40"/>
        <v>2.9895739329121902</v>
      </c>
      <c r="V282">
        <f t="shared" ca="1" si="43"/>
        <v>2.7582089552239997</v>
      </c>
      <c r="Y282">
        <f t="shared" si="44"/>
        <v>27.500000000000121</v>
      </c>
      <c r="Z282">
        <f t="shared" ca="1" si="45"/>
        <v>2.7582089552239997</v>
      </c>
    </row>
    <row r="283" spans="14:26" x14ac:dyDescent="0.25">
      <c r="N283">
        <f t="shared" si="42"/>
        <v>27.600000000000122</v>
      </c>
      <c r="P283">
        <f t="shared" ca="1" si="38"/>
        <v>27.4889115032353</v>
      </c>
      <c r="Q283">
        <f t="shared" ca="1" si="41"/>
        <v>27.810525911560799</v>
      </c>
      <c r="S283">
        <f t="shared" ca="1" si="39"/>
        <v>2.7499471976344498</v>
      </c>
      <c r="T283">
        <f t="shared" ca="1" si="40"/>
        <v>2.9895739329121902</v>
      </c>
      <c r="V283">
        <f t="shared" ca="1" si="43"/>
        <v>2.8327164179105666</v>
      </c>
      <c r="Y283">
        <f t="shared" si="44"/>
        <v>27.600000000000122</v>
      </c>
      <c r="Z283">
        <f t="shared" ca="1" si="45"/>
        <v>2.8327164179105666</v>
      </c>
    </row>
    <row r="284" spans="14:26" x14ac:dyDescent="0.25">
      <c r="N284">
        <f t="shared" si="42"/>
        <v>27.700000000000124</v>
      </c>
      <c r="P284">
        <f t="shared" ca="1" si="38"/>
        <v>27.4889115032353</v>
      </c>
      <c r="Q284">
        <f t="shared" ca="1" si="41"/>
        <v>27.810525911560799</v>
      </c>
      <c r="S284">
        <f t="shared" ca="1" si="39"/>
        <v>2.7499471976344498</v>
      </c>
      <c r="T284">
        <f t="shared" ca="1" si="40"/>
        <v>2.9895739329121902</v>
      </c>
      <c r="V284">
        <f t="shared" ca="1" si="43"/>
        <v>2.9072238805971335</v>
      </c>
      <c r="Y284">
        <f t="shared" si="44"/>
        <v>27.700000000000124</v>
      </c>
      <c r="Z284">
        <f t="shared" ca="1" si="45"/>
        <v>2.9072238805971335</v>
      </c>
    </row>
    <row r="285" spans="14:26" x14ac:dyDescent="0.25">
      <c r="N285">
        <f t="shared" si="42"/>
        <v>27.800000000000125</v>
      </c>
      <c r="P285">
        <f t="shared" ca="1" si="38"/>
        <v>27.4889115032353</v>
      </c>
      <c r="Q285">
        <f t="shared" ca="1" si="41"/>
        <v>27.810525911560799</v>
      </c>
      <c r="S285">
        <f t="shared" ca="1" si="39"/>
        <v>2.7499471976344498</v>
      </c>
      <c r="T285">
        <f t="shared" ca="1" si="40"/>
        <v>2.9895739329121902</v>
      </c>
      <c r="V285">
        <f t="shared" ca="1" si="43"/>
        <v>2.9817313432837005</v>
      </c>
      <c r="Y285">
        <f t="shared" si="44"/>
        <v>27.800000000000125</v>
      </c>
      <c r="Z285">
        <f t="shared" ca="1" si="45"/>
        <v>2.9817313432837005</v>
      </c>
    </row>
    <row r="286" spans="14:26" x14ac:dyDescent="0.25">
      <c r="N286">
        <f t="shared" si="42"/>
        <v>27.900000000000126</v>
      </c>
      <c r="P286">
        <f t="shared" ref="P286:P349" ca="1" si="46">OFFSET($I$7,MATCH($N286,$I$7:$I$143,1)-1,0)</f>
        <v>27.810525911560799</v>
      </c>
      <c r="Q286">
        <f t="shared" ca="1" si="41"/>
        <v>27.968548990994702</v>
      </c>
      <c r="S286">
        <f t="shared" ca="1" si="39"/>
        <v>2.9895739329121902</v>
      </c>
      <c r="T286">
        <f t="shared" ca="1" si="40"/>
        <v>3.79985023329044</v>
      </c>
      <c r="V286">
        <f t="shared" ca="1" si="43"/>
        <v>3.4483596597822914</v>
      </c>
      <c r="Y286">
        <f t="shared" si="44"/>
        <v>27.900000000000126</v>
      </c>
      <c r="Z286">
        <f t="shared" ca="1" si="45"/>
        <v>3.4483596597822914</v>
      </c>
    </row>
    <row r="287" spans="14:26" x14ac:dyDescent="0.25">
      <c r="N287">
        <f t="shared" si="42"/>
        <v>28.000000000000128</v>
      </c>
      <c r="P287">
        <f t="shared" ca="1" si="46"/>
        <v>27.968548990994702</v>
      </c>
      <c r="Q287">
        <f t="shared" ca="1" si="41"/>
        <v>28.460475029281302</v>
      </c>
      <c r="S287">
        <f t="shared" ca="1" si="39"/>
        <v>3.79985023329044</v>
      </c>
      <c r="T287">
        <f t="shared" ca="1" si="40"/>
        <v>1.8021927382346701</v>
      </c>
      <c r="V287">
        <f t="shared" ca="1" si="43"/>
        <v>3.6721311475400897</v>
      </c>
      <c r="Y287">
        <f t="shared" si="44"/>
        <v>28.000000000000128</v>
      </c>
      <c r="Z287">
        <f t="shared" ca="1" si="45"/>
        <v>3.6721311475400897</v>
      </c>
    </row>
    <row r="288" spans="14:26" x14ac:dyDescent="0.25">
      <c r="N288">
        <f t="shared" si="42"/>
        <v>28.100000000000129</v>
      </c>
      <c r="P288">
        <f t="shared" ca="1" si="46"/>
        <v>27.968548990994702</v>
      </c>
      <c r="Q288">
        <f t="shared" ca="1" si="41"/>
        <v>28.460475029281302</v>
      </c>
      <c r="S288">
        <f t="shared" ca="1" si="39"/>
        <v>3.79985023329044</v>
      </c>
      <c r="T288">
        <f t="shared" ca="1" si="40"/>
        <v>1.8021927382346701</v>
      </c>
      <c r="V288">
        <f t="shared" ca="1" si="43"/>
        <v>3.2660421545659166</v>
      </c>
      <c r="Y288">
        <f t="shared" si="44"/>
        <v>28.100000000000129</v>
      </c>
      <c r="Z288">
        <f t="shared" ca="1" si="45"/>
        <v>3.2660421545659166</v>
      </c>
    </row>
    <row r="289" spans="14:26" x14ac:dyDescent="0.25">
      <c r="N289">
        <f t="shared" si="42"/>
        <v>28.200000000000131</v>
      </c>
      <c r="P289">
        <f t="shared" ca="1" si="46"/>
        <v>27.968548990994702</v>
      </c>
      <c r="Q289">
        <f t="shared" ca="1" si="41"/>
        <v>28.460475029281302</v>
      </c>
      <c r="S289">
        <f t="shared" ca="1" si="39"/>
        <v>3.79985023329044</v>
      </c>
      <c r="T289">
        <f t="shared" ca="1" si="40"/>
        <v>1.8021927382346701</v>
      </c>
      <c r="V289">
        <f t="shared" ca="1" si="43"/>
        <v>2.8599531615917435</v>
      </c>
      <c r="Y289">
        <f t="shared" si="44"/>
        <v>28.200000000000131</v>
      </c>
      <c r="Z289">
        <f t="shared" ca="1" si="45"/>
        <v>2.8599531615917435</v>
      </c>
    </row>
    <row r="290" spans="14:26" x14ac:dyDescent="0.25">
      <c r="N290">
        <f t="shared" si="42"/>
        <v>28.300000000000132</v>
      </c>
      <c r="P290">
        <f t="shared" ca="1" si="46"/>
        <v>27.968548990994702</v>
      </c>
      <c r="Q290">
        <f t="shared" ca="1" si="41"/>
        <v>28.460475029281302</v>
      </c>
      <c r="S290">
        <f t="shared" ca="1" si="39"/>
        <v>3.79985023329044</v>
      </c>
      <c r="T290">
        <f t="shared" ca="1" si="40"/>
        <v>1.8021927382346701</v>
      </c>
      <c r="V290">
        <f t="shared" ca="1" si="43"/>
        <v>2.4538641686175708</v>
      </c>
      <c r="Y290">
        <f t="shared" si="44"/>
        <v>28.300000000000132</v>
      </c>
      <c r="Z290">
        <f t="shared" ca="1" si="45"/>
        <v>2.4538641686175708</v>
      </c>
    </row>
    <row r="291" spans="14:26" x14ac:dyDescent="0.25">
      <c r="N291">
        <f t="shared" si="42"/>
        <v>28.400000000000134</v>
      </c>
      <c r="P291">
        <f t="shared" ca="1" si="46"/>
        <v>27.968548990994702</v>
      </c>
      <c r="Q291">
        <f t="shared" ca="1" si="41"/>
        <v>28.460475029281302</v>
      </c>
      <c r="S291">
        <f t="shared" ca="1" si="39"/>
        <v>3.79985023329044</v>
      </c>
      <c r="T291">
        <f t="shared" ca="1" si="40"/>
        <v>1.8021927382346701</v>
      </c>
      <c r="V291">
        <f t="shared" ca="1" si="43"/>
        <v>2.0477751756433982</v>
      </c>
      <c r="Y291">
        <f t="shared" si="44"/>
        <v>28.400000000000134</v>
      </c>
      <c r="Z291">
        <f t="shared" ca="1" si="45"/>
        <v>2.0477751756433982</v>
      </c>
    </row>
    <row r="292" spans="14:26" x14ac:dyDescent="0.25">
      <c r="N292">
        <f t="shared" si="42"/>
        <v>28.500000000000135</v>
      </c>
      <c r="P292">
        <f t="shared" ca="1" si="46"/>
        <v>28.460475029281302</v>
      </c>
      <c r="Q292">
        <f t="shared" ca="1" si="41"/>
        <v>28.619458151725102</v>
      </c>
      <c r="S292">
        <f t="shared" ca="1" si="39"/>
        <v>1.8021927382346701</v>
      </c>
      <c r="T292">
        <f t="shared" ca="1" si="40"/>
        <v>2.3743783721510701</v>
      </c>
      <c r="V292">
        <f t="shared" ca="1" si="43"/>
        <v>1.9444444444450408</v>
      </c>
      <c r="Y292">
        <f t="shared" si="44"/>
        <v>28.500000000000135</v>
      </c>
      <c r="Z292">
        <f t="shared" ca="1" si="45"/>
        <v>1.9444444444450408</v>
      </c>
    </row>
    <row r="293" spans="14:26" x14ac:dyDescent="0.25">
      <c r="N293">
        <f t="shared" si="42"/>
        <v>28.600000000000136</v>
      </c>
      <c r="P293">
        <f t="shared" ca="1" si="46"/>
        <v>28.460475029281302</v>
      </c>
      <c r="Q293">
        <f t="shared" ca="1" si="41"/>
        <v>28.619458151725102</v>
      </c>
      <c r="S293">
        <f t="shared" ca="1" si="39"/>
        <v>1.8021927382346701</v>
      </c>
      <c r="T293">
        <f t="shared" ca="1" si="40"/>
        <v>2.3743783721510701</v>
      </c>
      <c r="V293">
        <f t="shared" ca="1" si="43"/>
        <v>2.3043478260877519</v>
      </c>
      <c r="Y293">
        <f t="shared" si="44"/>
        <v>28.600000000000136</v>
      </c>
      <c r="Z293">
        <f t="shared" ca="1" si="45"/>
        <v>2.3043478260877519</v>
      </c>
    </row>
    <row r="294" spans="14:26" x14ac:dyDescent="0.25">
      <c r="N294">
        <f t="shared" si="42"/>
        <v>28.700000000000138</v>
      </c>
      <c r="P294">
        <f t="shared" ca="1" si="46"/>
        <v>28.619458151725102</v>
      </c>
      <c r="Q294">
        <f t="shared" ca="1" si="41"/>
        <v>29.272287398475399</v>
      </c>
      <c r="S294">
        <f t="shared" ca="1" si="39"/>
        <v>2.3743783721510701</v>
      </c>
      <c r="T294">
        <f t="shared" ca="1" si="40"/>
        <v>0.47272517808797598</v>
      </c>
      <c r="V294">
        <f t="shared" ca="1" si="43"/>
        <v>2.139764705881686</v>
      </c>
      <c r="Y294">
        <f t="shared" si="44"/>
        <v>28.700000000000138</v>
      </c>
      <c r="Z294">
        <f t="shared" ca="1" si="45"/>
        <v>2.139764705881686</v>
      </c>
    </row>
    <row r="295" spans="14:26" x14ac:dyDescent="0.25">
      <c r="N295">
        <f t="shared" si="42"/>
        <v>28.800000000000139</v>
      </c>
      <c r="P295">
        <f t="shared" ca="1" si="46"/>
        <v>28.619458151725102</v>
      </c>
      <c r="Q295">
        <f t="shared" ca="1" si="41"/>
        <v>29.272287398475399</v>
      </c>
      <c r="S295">
        <f t="shared" ca="1" si="39"/>
        <v>2.3743783721510701</v>
      </c>
      <c r="T295">
        <f t="shared" ca="1" si="40"/>
        <v>0.47272517808797598</v>
      </c>
      <c r="V295">
        <f t="shared" ca="1" si="43"/>
        <v>1.8484705882346422</v>
      </c>
      <c r="Y295">
        <f t="shared" si="44"/>
        <v>28.800000000000139</v>
      </c>
      <c r="Z295">
        <f t="shared" ca="1" si="45"/>
        <v>1.8484705882346422</v>
      </c>
    </row>
    <row r="296" spans="14:26" x14ac:dyDescent="0.25">
      <c r="N296">
        <f t="shared" si="42"/>
        <v>28.900000000000141</v>
      </c>
      <c r="P296">
        <f t="shared" ca="1" si="46"/>
        <v>28.619458151725102</v>
      </c>
      <c r="Q296">
        <f t="shared" ca="1" si="41"/>
        <v>29.272287398475399</v>
      </c>
      <c r="S296">
        <f t="shared" ca="1" si="39"/>
        <v>2.3743783721510701</v>
      </c>
      <c r="T296">
        <f t="shared" ca="1" si="40"/>
        <v>0.47272517808797598</v>
      </c>
      <c r="V296">
        <f t="shared" ca="1" si="43"/>
        <v>1.5571764705875981</v>
      </c>
      <c r="Y296">
        <f t="shared" si="44"/>
        <v>28.900000000000141</v>
      </c>
      <c r="Z296">
        <f t="shared" ca="1" si="45"/>
        <v>1.5571764705875981</v>
      </c>
    </row>
    <row r="297" spans="14:26" x14ac:dyDescent="0.25">
      <c r="N297">
        <f t="shared" si="42"/>
        <v>29.000000000000142</v>
      </c>
      <c r="P297">
        <f t="shared" ca="1" si="46"/>
        <v>28.619458151725102</v>
      </c>
      <c r="Q297">
        <f t="shared" ca="1" si="41"/>
        <v>29.272287398475399</v>
      </c>
      <c r="S297">
        <f t="shared" ca="1" si="39"/>
        <v>2.3743783721510701</v>
      </c>
      <c r="T297">
        <f t="shared" ca="1" si="40"/>
        <v>0.47272517808797598</v>
      </c>
      <c r="V297">
        <f t="shared" ca="1" si="43"/>
        <v>1.2658823529405543</v>
      </c>
      <c r="Y297">
        <f t="shared" si="44"/>
        <v>29.000000000000142</v>
      </c>
      <c r="Z297">
        <f t="shared" ca="1" si="45"/>
        <v>1.2658823529405543</v>
      </c>
    </row>
    <row r="298" spans="14:26" x14ac:dyDescent="0.25">
      <c r="N298">
        <f t="shared" si="42"/>
        <v>29.100000000000144</v>
      </c>
      <c r="P298">
        <f t="shared" ca="1" si="46"/>
        <v>28.619458151725102</v>
      </c>
      <c r="Q298">
        <f t="shared" ca="1" si="41"/>
        <v>29.272287398475399</v>
      </c>
      <c r="S298">
        <f t="shared" ca="1" si="39"/>
        <v>2.3743783721510701</v>
      </c>
      <c r="T298">
        <f t="shared" ca="1" si="40"/>
        <v>0.47272517808797598</v>
      </c>
      <c r="V298">
        <f t="shared" ca="1" si="43"/>
        <v>0.97458823529351024</v>
      </c>
      <c r="Y298">
        <f t="shared" si="44"/>
        <v>29.100000000000144</v>
      </c>
      <c r="Z298">
        <f t="shared" ca="1" si="45"/>
        <v>0.97458823529351024</v>
      </c>
    </row>
    <row r="299" spans="14:26" x14ac:dyDescent="0.25">
      <c r="N299">
        <f t="shared" si="42"/>
        <v>29.200000000000145</v>
      </c>
      <c r="P299">
        <f t="shared" ca="1" si="46"/>
        <v>28.619458151725102</v>
      </c>
      <c r="Q299">
        <f t="shared" ca="1" si="41"/>
        <v>29.272287398475399</v>
      </c>
      <c r="S299">
        <f t="shared" ca="1" si="39"/>
        <v>2.3743783721510701</v>
      </c>
      <c r="T299">
        <f t="shared" ca="1" si="40"/>
        <v>0.47272517808797598</v>
      </c>
      <c r="V299">
        <f t="shared" ca="1" si="43"/>
        <v>0.68329411764646664</v>
      </c>
      <c r="Y299">
        <f t="shared" si="44"/>
        <v>29.200000000000145</v>
      </c>
      <c r="Z299">
        <f t="shared" ca="1" si="45"/>
        <v>0.68329411764646664</v>
      </c>
    </row>
    <row r="300" spans="14:26" x14ac:dyDescent="0.25">
      <c r="N300">
        <f t="shared" si="42"/>
        <v>29.300000000000146</v>
      </c>
      <c r="P300">
        <f t="shared" ca="1" si="46"/>
        <v>29.272287398475399</v>
      </c>
      <c r="Q300">
        <f t="shared" ca="1" si="41"/>
        <v>29.432614581133201</v>
      </c>
      <c r="S300">
        <f t="shared" ca="1" si="39"/>
        <v>0.47272517808797598</v>
      </c>
      <c r="T300">
        <f t="shared" ca="1" si="40"/>
        <v>0.71158387895777797</v>
      </c>
      <c r="V300">
        <f t="shared" ca="1" si="43"/>
        <v>0.51401197604819426</v>
      </c>
      <c r="Y300">
        <f t="shared" si="44"/>
        <v>29.300000000000146</v>
      </c>
      <c r="Z300">
        <f t="shared" ca="1" si="45"/>
        <v>0.51401197604819426</v>
      </c>
    </row>
    <row r="301" spans="14:26" x14ac:dyDescent="0.25">
      <c r="N301">
        <f t="shared" si="42"/>
        <v>29.400000000000148</v>
      </c>
      <c r="P301">
        <f t="shared" ca="1" si="46"/>
        <v>29.272287398475399</v>
      </c>
      <c r="Q301">
        <f t="shared" ca="1" si="41"/>
        <v>29.432614581133201</v>
      </c>
      <c r="S301">
        <f t="shared" ca="1" si="39"/>
        <v>0.47272517808797598</v>
      </c>
      <c r="T301">
        <f t="shared" ca="1" si="40"/>
        <v>0.71158387895777797</v>
      </c>
      <c r="V301">
        <f t="shared" ca="1" si="43"/>
        <v>0.66299401197632402</v>
      </c>
      <c r="Y301">
        <f t="shared" si="44"/>
        <v>29.400000000000148</v>
      </c>
      <c r="Z301">
        <f t="shared" ca="1" si="45"/>
        <v>0.66299401197632402</v>
      </c>
    </row>
    <row r="302" spans="14:26" x14ac:dyDescent="0.25">
      <c r="N302">
        <f t="shared" si="42"/>
        <v>29.500000000000149</v>
      </c>
      <c r="P302">
        <f t="shared" ca="1" si="46"/>
        <v>29.432614581133201</v>
      </c>
      <c r="Q302">
        <f t="shared" ca="1" si="41"/>
        <v>29.668401144371199</v>
      </c>
      <c r="S302">
        <f t="shared" ca="1" si="39"/>
        <v>0.71158387895777797</v>
      </c>
      <c r="T302">
        <f t="shared" ca="1" si="40"/>
        <v>2.2365161959255699</v>
      </c>
      <c r="V302">
        <f t="shared" ca="1" si="43"/>
        <v>1.1473941368090639</v>
      </c>
      <c r="Y302">
        <f t="shared" si="44"/>
        <v>29.500000000000149</v>
      </c>
      <c r="Z302">
        <f t="shared" ca="1" si="45"/>
        <v>1.1473941368090639</v>
      </c>
    </row>
    <row r="303" spans="14:26" x14ac:dyDescent="0.25">
      <c r="N303">
        <f t="shared" si="42"/>
        <v>29.600000000000151</v>
      </c>
      <c r="P303">
        <f t="shared" ca="1" si="46"/>
        <v>29.432614581133201</v>
      </c>
      <c r="Q303">
        <f t="shared" ca="1" si="41"/>
        <v>29.668401144371199</v>
      </c>
      <c r="S303">
        <f t="shared" ca="1" si="39"/>
        <v>0.71158387895777797</v>
      </c>
      <c r="T303">
        <f t="shared" ca="1" si="40"/>
        <v>2.2365161959255699</v>
      </c>
      <c r="V303">
        <f t="shared" ca="1" si="43"/>
        <v>1.7941368078189386</v>
      </c>
      <c r="Y303">
        <f t="shared" si="44"/>
        <v>29.600000000000151</v>
      </c>
      <c r="Z303">
        <f t="shared" ca="1" si="45"/>
        <v>1.7941368078189386</v>
      </c>
    </row>
    <row r="304" spans="14:26" x14ac:dyDescent="0.25">
      <c r="N304">
        <f t="shared" si="42"/>
        <v>29.700000000000152</v>
      </c>
      <c r="P304">
        <f t="shared" ca="1" si="46"/>
        <v>29.668401144371199</v>
      </c>
      <c r="Q304">
        <f t="shared" ca="1" si="41"/>
        <v>30.3123979954301</v>
      </c>
      <c r="S304">
        <f t="shared" ca="1" si="39"/>
        <v>2.2365161959255699</v>
      </c>
      <c r="T304">
        <f t="shared" ca="1" si="40"/>
        <v>2.5252971333115601</v>
      </c>
      <c r="V304">
        <f t="shared" ca="1" si="43"/>
        <v>2.2506857483602589</v>
      </c>
      <c r="Y304">
        <f t="shared" si="44"/>
        <v>29.700000000000152</v>
      </c>
      <c r="Z304">
        <f t="shared" ca="1" si="45"/>
        <v>2.2506857483602589</v>
      </c>
    </row>
    <row r="305" spans="14:26" x14ac:dyDescent="0.25">
      <c r="N305">
        <f t="shared" si="42"/>
        <v>29.800000000000153</v>
      </c>
      <c r="P305">
        <f t="shared" ca="1" si="46"/>
        <v>29.668401144371199</v>
      </c>
      <c r="Q305">
        <f t="shared" ca="1" si="41"/>
        <v>30.3123979954301</v>
      </c>
      <c r="S305">
        <f t="shared" ca="1" si="39"/>
        <v>2.2365161959255699</v>
      </c>
      <c r="T305">
        <f t="shared" ca="1" si="40"/>
        <v>2.5252971333115601</v>
      </c>
      <c r="V305">
        <f t="shared" ca="1" si="43"/>
        <v>2.2955277280859612</v>
      </c>
      <c r="Y305">
        <f t="shared" si="44"/>
        <v>29.800000000000153</v>
      </c>
      <c r="Z305">
        <f t="shared" ca="1" si="45"/>
        <v>2.2955277280859612</v>
      </c>
    </row>
    <row r="306" spans="14:26" x14ac:dyDescent="0.25">
      <c r="N306">
        <f t="shared" si="42"/>
        <v>29.900000000000155</v>
      </c>
      <c r="P306">
        <f t="shared" ca="1" si="46"/>
        <v>29.668401144371199</v>
      </c>
      <c r="Q306">
        <f t="shared" ca="1" si="41"/>
        <v>30.3123979954301</v>
      </c>
      <c r="S306">
        <f t="shared" ca="1" si="39"/>
        <v>2.2365161959255699</v>
      </c>
      <c r="T306">
        <f t="shared" ca="1" si="40"/>
        <v>2.5252971333115601</v>
      </c>
      <c r="V306">
        <f t="shared" ca="1" si="43"/>
        <v>2.3403697078116639</v>
      </c>
      <c r="Y306">
        <f t="shared" si="44"/>
        <v>29.900000000000155</v>
      </c>
      <c r="Z306">
        <f t="shared" ca="1" si="45"/>
        <v>2.3403697078116639</v>
      </c>
    </row>
    <row r="307" spans="14:26" x14ac:dyDescent="0.25">
      <c r="N307">
        <f t="shared" si="42"/>
        <v>30.000000000000156</v>
      </c>
      <c r="P307">
        <f t="shared" ca="1" si="46"/>
        <v>29.668401144371199</v>
      </c>
      <c r="Q307">
        <f t="shared" ca="1" si="41"/>
        <v>30.3123979954301</v>
      </c>
      <c r="S307">
        <f t="shared" ca="1" si="39"/>
        <v>2.2365161959255699</v>
      </c>
      <c r="T307">
        <f t="shared" ca="1" si="40"/>
        <v>2.5252971333115601</v>
      </c>
      <c r="V307">
        <f t="shared" ca="1" si="43"/>
        <v>2.3852116875373661</v>
      </c>
      <c r="Y307">
        <f t="shared" si="44"/>
        <v>30.000000000000156</v>
      </c>
      <c r="Z307">
        <f t="shared" ca="1" si="45"/>
        <v>2.3852116875373661</v>
      </c>
    </row>
    <row r="308" spans="14:26" x14ac:dyDescent="0.25">
      <c r="N308">
        <f t="shared" si="42"/>
        <v>30.100000000000158</v>
      </c>
      <c r="P308">
        <f t="shared" ca="1" si="46"/>
        <v>29.668401144371199</v>
      </c>
      <c r="Q308">
        <f t="shared" ca="1" si="41"/>
        <v>30.3123979954301</v>
      </c>
      <c r="S308">
        <f t="shared" ca="1" si="39"/>
        <v>2.2365161959255699</v>
      </c>
      <c r="T308">
        <f t="shared" ca="1" si="40"/>
        <v>2.5252971333115601</v>
      </c>
      <c r="V308">
        <f t="shared" ca="1" si="43"/>
        <v>2.4300536672630684</v>
      </c>
      <c r="Y308">
        <f t="shared" si="44"/>
        <v>30.100000000000158</v>
      </c>
      <c r="Z308">
        <f t="shared" ca="1" si="45"/>
        <v>2.4300536672630684</v>
      </c>
    </row>
    <row r="309" spans="14:26" x14ac:dyDescent="0.25">
      <c r="N309">
        <f t="shared" si="42"/>
        <v>30.200000000000159</v>
      </c>
      <c r="P309">
        <f t="shared" ca="1" si="46"/>
        <v>29.668401144371199</v>
      </c>
      <c r="Q309">
        <f t="shared" ca="1" si="41"/>
        <v>30.3123979954301</v>
      </c>
      <c r="S309">
        <f t="shared" ca="1" si="39"/>
        <v>2.2365161959255699</v>
      </c>
      <c r="T309">
        <f t="shared" ca="1" si="40"/>
        <v>2.5252971333115601</v>
      </c>
      <c r="V309">
        <f t="shared" ca="1" si="43"/>
        <v>2.4748956469887711</v>
      </c>
      <c r="Y309">
        <f t="shared" si="44"/>
        <v>30.200000000000159</v>
      </c>
      <c r="Z309">
        <f t="shared" ca="1" si="45"/>
        <v>2.4748956469887711</v>
      </c>
    </row>
    <row r="310" spans="14:26" x14ac:dyDescent="0.25">
      <c r="N310">
        <f t="shared" si="42"/>
        <v>30.300000000000161</v>
      </c>
      <c r="P310">
        <f t="shared" ca="1" si="46"/>
        <v>29.668401144371199</v>
      </c>
      <c r="Q310">
        <f t="shared" ca="1" si="41"/>
        <v>30.3123979954301</v>
      </c>
      <c r="S310">
        <f t="shared" ca="1" si="39"/>
        <v>2.2365161959255699</v>
      </c>
      <c r="T310">
        <f t="shared" ca="1" si="40"/>
        <v>2.5252971333115601</v>
      </c>
      <c r="V310">
        <f t="shared" ca="1" si="43"/>
        <v>2.5197376267144733</v>
      </c>
      <c r="Y310">
        <f t="shared" si="44"/>
        <v>30.300000000000161</v>
      </c>
      <c r="Z310">
        <f t="shared" ca="1" si="45"/>
        <v>2.5197376267144733</v>
      </c>
    </row>
    <row r="311" spans="14:26" x14ac:dyDescent="0.25">
      <c r="N311">
        <f t="shared" si="42"/>
        <v>30.400000000000162</v>
      </c>
      <c r="P311">
        <f t="shared" ca="1" si="46"/>
        <v>30.3156621416639</v>
      </c>
      <c r="Q311">
        <f t="shared" ca="1" si="41"/>
        <v>30.962923138956601</v>
      </c>
      <c r="S311">
        <f t="shared" ca="1" si="39"/>
        <v>1.71578886734125</v>
      </c>
      <c r="T311">
        <f t="shared" ca="1" si="40"/>
        <v>1.1950615387569301</v>
      </c>
      <c r="V311">
        <f t="shared" ca="1" si="43"/>
        <v>1.6479382972410024</v>
      </c>
      <c r="Y311">
        <f t="shared" si="44"/>
        <v>30.400000000000162</v>
      </c>
      <c r="Z311">
        <f t="shared" ca="1" si="45"/>
        <v>1.6479382972410024</v>
      </c>
    </row>
    <row r="312" spans="14:26" x14ac:dyDescent="0.25">
      <c r="N312">
        <f t="shared" si="42"/>
        <v>30.500000000000163</v>
      </c>
      <c r="P312">
        <f t="shared" ca="1" si="46"/>
        <v>30.3156621416639</v>
      </c>
      <c r="Q312">
        <f t="shared" ca="1" si="41"/>
        <v>30.962923138956601</v>
      </c>
      <c r="S312">
        <f t="shared" ca="1" si="39"/>
        <v>1.71578886734125</v>
      </c>
      <c r="T312">
        <f t="shared" ca="1" si="40"/>
        <v>1.1950615387569301</v>
      </c>
      <c r="V312">
        <f t="shared" ca="1" si="43"/>
        <v>1.5674873924649733</v>
      </c>
      <c r="Y312">
        <f t="shared" si="44"/>
        <v>30.500000000000163</v>
      </c>
      <c r="Z312">
        <f t="shared" ca="1" si="45"/>
        <v>1.5674873924649733</v>
      </c>
    </row>
    <row r="313" spans="14:26" x14ac:dyDescent="0.25">
      <c r="N313">
        <f t="shared" si="42"/>
        <v>30.600000000000165</v>
      </c>
      <c r="P313">
        <f t="shared" ca="1" si="46"/>
        <v>30.3156621416639</v>
      </c>
      <c r="Q313">
        <f t="shared" ca="1" si="41"/>
        <v>30.962923138956601</v>
      </c>
      <c r="S313">
        <f t="shared" ca="1" si="39"/>
        <v>1.71578886734125</v>
      </c>
      <c r="T313">
        <f t="shared" ca="1" si="40"/>
        <v>1.1950615387569301</v>
      </c>
      <c r="V313">
        <f t="shared" ca="1" si="43"/>
        <v>1.4870364876889441</v>
      </c>
      <c r="Y313">
        <f t="shared" si="44"/>
        <v>30.600000000000165</v>
      </c>
      <c r="Z313">
        <f t="shared" ca="1" si="45"/>
        <v>1.4870364876889441</v>
      </c>
    </row>
    <row r="314" spans="14:26" x14ac:dyDescent="0.25">
      <c r="N314">
        <f t="shared" si="42"/>
        <v>30.700000000000166</v>
      </c>
      <c r="P314">
        <f t="shared" ca="1" si="46"/>
        <v>30.3156621416639</v>
      </c>
      <c r="Q314">
        <f t="shared" ca="1" si="41"/>
        <v>30.962923138956601</v>
      </c>
      <c r="S314">
        <f t="shared" ca="1" si="39"/>
        <v>1.71578886734125</v>
      </c>
      <c r="T314">
        <f t="shared" ca="1" si="40"/>
        <v>1.1950615387569301</v>
      </c>
      <c r="V314">
        <f t="shared" ca="1" si="43"/>
        <v>1.406585582912915</v>
      </c>
      <c r="Y314">
        <f t="shared" si="44"/>
        <v>30.700000000000166</v>
      </c>
      <c r="Z314">
        <f t="shared" ca="1" si="45"/>
        <v>1.406585582912915</v>
      </c>
    </row>
    <row r="315" spans="14:26" x14ac:dyDescent="0.25">
      <c r="N315">
        <f t="shared" si="42"/>
        <v>30.800000000000168</v>
      </c>
      <c r="P315">
        <f t="shared" ca="1" si="46"/>
        <v>30.3156621416639</v>
      </c>
      <c r="Q315">
        <f t="shared" ca="1" si="41"/>
        <v>30.962923138956601</v>
      </c>
      <c r="S315">
        <f t="shared" ca="1" si="39"/>
        <v>1.71578886734125</v>
      </c>
      <c r="T315">
        <f t="shared" ca="1" si="40"/>
        <v>1.1950615387569301</v>
      </c>
      <c r="V315">
        <f t="shared" ca="1" si="43"/>
        <v>1.3261346781368859</v>
      </c>
      <c r="Y315">
        <f t="shared" si="44"/>
        <v>30.800000000000168</v>
      </c>
      <c r="Z315">
        <f t="shared" ca="1" si="45"/>
        <v>1.3261346781368859</v>
      </c>
    </row>
    <row r="316" spans="14:26" x14ac:dyDescent="0.25">
      <c r="N316">
        <f t="shared" si="42"/>
        <v>30.900000000000169</v>
      </c>
      <c r="P316">
        <f t="shared" ca="1" si="46"/>
        <v>30.3156621416639</v>
      </c>
      <c r="Q316">
        <f t="shared" ca="1" si="41"/>
        <v>30.962923138956601</v>
      </c>
      <c r="S316">
        <f t="shared" ca="1" si="39"/>
        <v>1.71578886734125</v>
      </c>
      <c r="T316">
        <f t="shared" ca="1" si="40"/>
        <v>1.1950615387569301</v>
      </c>
      <c r="V316">
        <f t="shared" ca="1" si="43"/>
        <v>1.2456837733608568</v>
      </c>
      <c r="Y316">
        <f t="shared" si="44"/>
        <v>30.900000000000169</v>
      </c>
      <c r="Z316">
        <f t="shared" ca="1" si="45"/>
        <v>1.2456837733608568</v>
      </c>
    </row>
    <row r="317" spans="14:26" x14ac:dyDescent="0.25">
      <c r="N317">
        <f t="shared" si="42"/>
        <v>31.000000000000171</v>
      </c>
      <c r="P317">
        <f t="shared" ca="1" si="46"/>
        <v>30.962923138956601</v>
      </c>
      <c r="Q317">
        <f t="shared" ca="1" si="41"/>
        <v>31.2015898312244</v>
      </c>
      <c r="S317">
        <f t="shared" ca="1" si="39"/>
        <v>1.1950615387569301</v>
      </c>
      <c r="T317">
        <f t="shared" ca="1" si="40"/>
        <v>2.0057218563391599</v>
      </c>
      <c r="V317">
        <f t="shared" ca="1" si="43"/>
        <v>1.3209975864849761</v>
      </c>
      <c r="Y317">
        <f t="shared" si="44"/>
        <v>31.000000000000171</v>
      </c>
      <c r="Z317">
        <f t="shared" ca="1" si="45"/>
        <v>1.3209975864849761</v>
      </c>
    </row>
    <row r="318" spans="14:26" x14ac:dyDescent="0.25">
      <c r="N318">
        <f t="shared" si="42"/>
        <v>31.100000000000172</v>
      </c>
      <c r="P318">
        <f t="shared" ca="1" si="46"/>
        <v>30.962923138956601</v>
      </c>
      <c r="Q318">
        <f t="shared" ca="1" si="41"/>
        <v>31.2015898312244</v>
      </c>
      <c r="S318">
        <f t="shared" ca="1" si="39"/>
        <v>1.1950615387569301</v>
      </c>
      <c r="T318">
        <f t="shared" ca="1" si="40"/>
        <v>2.0057218563391599</v>
      </c>
      <c r="V318">
        <f t="shared" ca="1" si="43"/>
        <v>1.6606596942887033</v>
      </c>
      <c r="Y318">
        <f t="shared" si="44"/>
        <v>31.100000000000172</v>
      </c>
      <c r="Z318">
        <f t="shared" ca="1" si="45"/>
        <v>1.6606596942887033</v>
      </c>
    </row>
    <row r="319" spans="14:26" x14ac:dyDescent="0.25">
      <c r="N319">
        <f t="shared" si="42"/>
        <v>31.200000000000173</v>
      </c>
      <c r="P319">
        <f t="shared" ca="1" si="46"/>
        <v>30.962923138956601</v>
      </c>
      <c r="Q319">
        <f t="shared" ca="1" si="41"/>
        <v>31.2015898312244</v>
      </c>
      <c r="S319">
        <f t="shared" ca="1" si="39"/>
        <v>1.1950615387569301</v>
      </c>
      <c r="T319">
        <f t="shared" ca="1" si="40"/>
        <v>2.0057218563391599</v>
      </c>
      <c r="V319">
        <f t="shared" ca="1" si="43"/>
        <v>2.0003218020924307</v>
      </c>
      <c r="Y319">
        <f t="shared" si="44"/>
        <v>31.200000000000173</v>
      </c>
      <c r="Z319">
        <f t="shared" ca="1" si="45"/>
        <v>2.0003218020924307</v>
      </c>
    </row>
    <row r="320" spans="14:26" x14ac:dyDescent="0.25">
      <c r="N320">
        <f t="shared" si="42"/>
        <v>31.300000000000175</v>
      </c>
      <c r="P320">
        <f t="shared" ca="1" si="46"/>
        <v>31.2015898312244</v>
      </c>
      <c r="Q320">
        <f t="shared" ca="1" si="41"/>
        <v>31.361917013882199</v>
      </c>
      <c r="S320">
        <f t="shared" ca="1" si="39"/>
        <v>2.0057218563391599</v>
      </c>
      <c r="T320">
        <f t="shared" ca="1" si="40"/>
        <v>2.2445805572089599</v>
      </c>
      <c r="V320">
        <f t="shared" ca="1" si="43"/>
        <v>2.1523353293416183</v>
      </c>
      <c r="Y320">
        <f t="shared" si="44"/>
        <v>31.300000000000175</v>
      </c>
      <c r="Z320">
        <f t="shared" ca="1" si="45"/>
        <v>2.1523353293416183</v>
      </c>
    </row>
    <row r="321" spans="14:26" x14ac:dyDescent="0.25">
      <c r="N321">
        <f t="shared" si="42"/>
        <v>31.400000000000176</v>
      </c>
      <c r="P321">
        <f t="shared" ca="1" si="46"/>
        <v>31.361917013882199</v>
      </c>
      <c r="Q321">
        <f t="shared" ca="1" si="41"/>
        <v>31.929878458554899</v>
      </c>
      <c r="S321">
        <f t="shared" ca="1" si="39"/>
        <v>2.2445805572089599</v>
      </c>
      <c r="T321">
        <f t="shared" ca="1" si="40"/>
        <v>1.39014227837407</v>
      </c>
      <c r="V321">
        <f t="shared" ca="1" si="43"/>
        <v>2.1872887085865775</v>
      </c>
      <c r="Y321">
        <f t="shared" si="44"/>
        <v>31.400000000000176</v>
      </c>
      <c r="Z321">
        <f t="shared" ca="1" si="45"/>
        <v>2.1872887085865775</v>
      </c>
    </row>
    <row r="322" spans="14:26" x14ac:dyDescent="0.25">
      <c r="N322">
        <f t="shared" si="42"/>
        <v>31.500000000000178</v>
      </c>
      <c r="P322">
        <f t="shared" ca="1" si="46"/>
        <v>31.361917013882199</v>
      </c>
      <c r="Q322">
        <f t="shared" ca="1" si="41"/>
        <v>31.929878458554899</v>
      </c>
      <c r="S322">
        <f t="shared" ca="1" si="39"/>
        <v>2.2445805572089599</v>
      </c>
      <c r="T322">
        <f t="shared" ca="1" si="40"/>
        <v>1.39014227837407</v>
      </c>
      <c r="V322">
        <f t="shared" ca="1" si="43"/>
        <v>2.0368492224472874</v>
      </c>
      <c r="Y322">
        <f t="shared" si="44"/>
        <v>31.500000000000178</v>
      </c>
      <c r="Z322">
        <f t="shared" ca="1" si="45"/>
        <v>2.0368492224472874</v>
      </c>
    </row>
    <row r="323" spans="14:26" x14ac:dyDescent="0.25">
      <c r="N323">
        <f t="shared" si="42"/>
        <v>31.600000000000179</v>
      </c>
      <c r="P323">
        <f t="shared" ca="1" si="46"/>
        <v>31.361917013882199</v>
      </c>
      <c r="Q323">
        <f t="shared" ca="1" si="41"/>
        <v>31.929878458554899</v>
      </c>
      <c r="S323">
        <f t="shared" ca="1" si="39"/>
        <v>2.2445805572089599</v>
      </c>
      <c r="T323">
        <f t="shared" ca="1" si="40"/>
        <v>1.39014227837407</v>
      </c>
      <c r="V323">
        <f t="shared" ca="1" si="43"/>
        <v>1.8864097363079968</v>
      </c>
      <c r="Y323">
        <f t="shared" si="44"/>
        <v>31.600000000000179</v>
      </c>
      <c r="Z323">
        <f t="shared" ca="1" si="45"/>
        <v>1.8864097363079968</v>
      </c>
    </row>
    <row r="324" spans="14:26" x14ac:dyDescent="0.25">
      <c r="N324">
        <f t="shared" si="42"/>
        <v>31.70000000000018</v>
      </c>
      <c r="P324">
        <f t="shared" ca="1" si="46"/>
        <v>31.361917013882199</v>
      </c>
      <c r="Q324">
        <f t="shared" ca="1" si="41"/>
        <v>31.929878458554899</v>
      </c>
      <c r="S324">
        <f t="shared" ca="1" si="39"/>
        <v>2.2445805572089599</v>
      </c>
      <c r="T324">
        <f t="shared" ca="1" si="40"/>
        <v>1.39014227837407</v>
      </c>
      <c r="V324">
        <f t="shared" ca="1" si="43"/>
        <v>1.7359702501687062</v>
      </c>
      <c r="Y324">
        <f t="shared" si="44"/>
        <v>31.70000000000018</v>
      </c>
      <c r="Z324">
        <f t="shared" ca="1" si="45"/>
        <v>1.7359702501687062</v>
      </c>
    </row>
    <row r="325" spans="14:26" x14ac:dyDescent="0.25">
      <c r="N325">
        <f t="shared" si="42"/>
        <v>31.800000000000182</v>
      </c>
      <c r="P325">
        <f t="shared" ca="1" si="46"/>
        <v>31.361917013882199</v>
      </c>
      <c r="Q325">
        <f t="shared" ca="1" si="41"/>
        <v>31.929878458554899</v>
      </c>
      <c r="S325">
        <f t="shared" ca="1" si="39"/>
        <v>2.2445805572089599</v>
      </c>
      <c r="T325">
        <f t="shared" ca="1" si="40"/>
        <v>1.39014227837407</v>
      </c>
      <c r="V325">
        <f t="shared" ca="1" si="43"/>
        <v>1.5855307640294156</v>
      </c>
      <c r="Y325">
        <f t="shared" si="44"/>
        <v>31.800000000000182</v>
      </c>
      <c r="Z325">
        <f t="shared" ca="1" si="45"/>
        <v>1.5855307640294156</v>
      </c>
    </row>
    <row r="326" spans="14:26" x14ac:dyDescent="0.25">
      <c r="N326">
        <f t="shared" si="42"/>
        <v>31.900000000000183</v>
      </c>
      <c r="P326">
        <f t="shared" ca="1" si="46"/>
        <v>31.361917013882199</v>
      </c>
      <c r="Q326">
        <f t="shared" ca="1" si="41"/>
        <v>31.929878458554899</v>
      </c>
      <c r="S326">
        <f t="shared" ca="1" si="39"/>
        <v>2.2445805572089599</v>
      </c>
      <c r="T326">
        <f t="shared" ca="1" si="40"/>
        <v>1.39014227837407</v>
      </c>
      <c r="V326">
        <f t="shared" ca="1" si="43"/>
        <v>1.435091277890125</v>
      </c>
      <c r="Y326">
        <f t="shared" si="44"/>
        <v>31.900000000000183</v>
      </c>
      <c r="Z326">
        <f t="shared" ca="1" si="45"/>
        <v>1.435091277890125</v>
      </c>
    </row>
    <row r="327" spans="14:26" x14ac:dyDescent="0.25">
      <c r="N327">
        <f t="shared" si="42"/>
        <v>32.000000000000185</v>
      </c>
      <c r="P327">
        <f t="shared" ca="1" si="46"/>
        <v>31.929878458554899</v>
      </c>
      <c r="Q327">
        <f t="shared" ca="1" si="41"/>
        <v>32.093853804650401</v>
      </c>
      <c r="S327">
        <f t="shared" ca="1" si="39"/>
        <v>1.39014227837407</v>
      </c>
      <c r="T327">
        <f t="shared" ca="1" si="40"/>
        <v>0.72425644668881195</v>
      </c>
      <c r="V327">
        <f t="shared" ca="1" si="43"/>
        <v>1.1053864168608913</v>
      </c>
      <c r="Y327">
        <f t="shared" si="44"/>
        <v>32.000000000000185</v>
      </c>
      <c r="Z327">
        <f t="shared" ca="1" si="45"/>
        <v>1.1053864168608913</v>
      </c>
    </row>
    <row r="328" spans="14:26" x14ac:dyDescent="0.25">
      <c r="N328">
        <f t="shared" si="42"/>
        <v>32.100000000000186</v>
      </c>
      <c r="P328">
        <f t="shared" ca="1" si="46"/>
        <v>32.093853804650401</v>
      </c>
      <c r="Q328">
        <f t="shared" ca="1" si="41"/>
        <v>32.491119602158101</v>
      </c>
      <c r="S328">
        <f t="shared" ref="S328:S391" ca="1" si="47">OFFSET($J$7,MATCH($N328,$I$7:$I$143,1)-1,0)</f>
        <v>0.72425644668881195</v>
      </c>
      <c r="T328">
        <f t="shared" ref="T328:T391" ca="1" si="48">OFFSET($J$7,MATCH($N328,$I$7:$I$143,1),0)</f>
        <v>2.2023386647721801</v>
      </c>
      <c r="V328">
        <f t="shared" ca="1" si="43"/>
        <v>0.74712421459729517</v>
      </c>
      <c r="Y328">
        <f t="shared" si="44"/>
        <v>32.100000000000186</v>
      </c>
      <c r="Z328">
        <f t="shared" ca="1" si="45"/>
        <v>0.74712421459729517</v>
      </c>
    </row>
    <row r="329" spans="14:26" x14ac:dyDescent="0.25">
      <c r="N329">
        <f t="shared" si="42"/>
        <v>32.200000000000188</v>
      </c>
      <c r="P329">
        <f t="shared" ca="1" si="46"/>
        <v>32.093853804650401</v>
      </c>
      <c r="Q329">
        <f t="shared" ca="1" si="41"/>
        <v>32.491119602158101</v>
      </c>
      <c r="S329">
        <f t="shared" ca="1" si="47"/>
        <v>0.72425644668881195</v>
      </c>
      <c r="T329">
        <f t="shared" ca="1" si="48"/>
        <v>2.2023386647721801</v>
      </c>
      <c r="V329">
        <f t="shared" ca="1" si="43"/>
        <v>1.1191880135340111</v>
      </c>
      <c r="Y329">
        <f t="shared" si="44"/>
        <v>32.200000000000188</v>
      </c>
      <c r="Z329">
        <f t="shared" ca="1" si="45"/>
        <v>1.1191880135340111</v>
      </c>
    </row>
    <row r="330" spans="14:26" x14ac:dyDescent="0.25">
      <c r="N330">
        <f t="shared" si="42"/>
        <v>32.300000000000189</v>
      </c>
      <c r="P330">
        <f t="shared" ca="1" si="46"/>
        <v>32.093853804650401</v>
      </c>
      <c r="Q330">
        <f t="shared" ca="1" si="41"/>
        <v>32.491119602158101</v>
      </c>
      <c r="S330">
        <f t="shared" ca="1" si="47"/>
        <v>0.72425644668881195</v>
      </c>
      <c r="T330">
        <f t="shared" ca="1" si="48"/>
        <v>2.2023386647721801</v>
      </c>
      <c r="V330">
        <f t="shared" ca="1" si="43"/>
        <v>1.4912518124707268</v>
      </c>
      <c r="Y330">
        <f t="shared" si="44"/>
        <v>32.300000000000189</v>
      </c>
      <c r="Z330">
        <f t="shared" ca="1" si="45"/>
        <v>1.4912518124707268</v>
      </c>
    </row>
    <row r="331" spans="14:26" x14ac:dyDescent="0.25">
      <c r="N331">
        <f t="shared" si="42"/>
        <v>32.40000000000019</v>
      </c>
      <c r="P331">
        <f t="shared" ca="1" si="46"/>
        <v>32.093853804650401</v>
      </c>
      <c r="Q331">
        <f t="shared" ref="Q331:Q394" ca="1" si="49">OFFSET($I$7,MATCH($N331,$I$7:$I$143,1),0)</f>
        <v>32.491119602158101</v>
      </c>
      <c r="S331">
        <f t="shared" ca="1" si="47"/>
        <v>0.72425644668881195</v>
      </c>
      <c r="T331">
        <f t="shared" ca="1" si="48"/>
        <v>2.2023386647721801</v>
      </c>
      <c r="V331">
        <f t="shared" ca="1" si="43"/>
        <v>1.8633156114074427</v>
      </c>
      <c r="Y331">
        <f t="shared" si="44"/>
        <v>32.40000000000019</v>
      </c>
      <c r="Z331">
        <f t="shared" ca="1" si="45"/>
        <v>1.8633156114074427</v>
      </c>
    </row>
    <row r="332" spans="14:26" x14ac:dyDescent="0.25">
      <c r="N332">
        <f t="shared" si="42"/>
        <v>32.500000000000192</v>
      </c>
      <c r="P332">
        <f t="shared" ca="1" si="46"/>
        <v>32.491119602158101</v>
      </c>
      <c r="Q332">
        <f t="shared" ca="1" si="49"/>
        <v>32.974981279161298</v>
      </c>
      <c r="S332">
        <f t="shared" ca="1" si="47"/>
        <v>2.2023386647721801</v>
      </c>
      <c r="T332">
        <f t="shared" ca="1" si="48"/>
        <v>2.2046427679959999</v>
      </c>
      <c r="V332">
        <f t="shared" ca="1" si="43"/>
        <v>2.2023809523809517</v>
      </c>
      <c r="Y332">
        <f t="shared" si="44"/>
        <v>32.500000000000192</v>
      </c>
      <c r="Z332">
        <f t="shared" ca="1" si="45"/>
        <v>2.2023809523809517</v>
      </c>
    </row>
    <row r="333" spans="14:26" x14ac:dyDescent="0.25">
      <c r="N333">
        <f t="shared" si="42"/>
        <v>32.600000000000193</v>
      </c>
      <c r="P333">
        <f t="shared" ca="1" si="46"/>
        <v>32.491119602158101</v>
      </c>
      <c r="Q333">
        <f t="shared" ca="1" si="49"/>
        <v>32.974981279161298</v>
      </c>
      <c r="S333">
        <f t="shared" ca="1" si="47"/>
        <v>2.2023386647721801</v>
      </c>
      <c r="T333">
        <f t="shared" ca="1" si="48"/>
        <v>2.2046427679959999</v>
      </c>
      <c r="V333">
        <f t="shared" ca="1" si="43"/>
        <v>2.2028571428571415</v>
      </c>
      <c r="Y333">
        <f t="shared" si="44"/>
        <v>32.600000000000193</v>
      </c>
      <c r="Z333">
        <f t="shared" ca="1" si="45"/>
        <v>2.2028571428571415</v>
      </c>
    </row>
    <row r="334" spans="14:26" x14ac:dyDescent="0.25">
      <c r="N334">
        <f t="shared" si="42"/>
        <v>32.700000000000195</v>
      </c>
      <c r="P334">
        <f t="shared" ca="1" si="46"/>
        <v>32.491119602158101</v>
      </c>
      <c r="Q334">
        <f t="shared" ca="1" si="49"/>
        <v>32.974981279161298</v>
      </c>
      <c r="S334">
        <f t="shared" ca="1" si="47"/>
        <v>2.2023386647721801</v>
      </c>
      <c r="T334">
        <f t="shared" ca="1" si="48"/>
        <v>2.2046427679959999</v>
      </c>
      <c r="V334">
        <f t="shared" ca="1" si="43"/>
        <v>2.2033333333333309</v>
      </c>
      <c r="Y334">
        <f t="shared" si="44"/>
        <v>32.700000000000195</v>
      </c>
      <c r="Z334">
        <f t="shared" ca="1" si="45"/>
        <v>2.2033333333333309</v>
      </c>
    </row>
    <row r="335" spans="14:26" x14ac:dyDescent="0.25">
      <c r="N335">
        <f t="shared" si="42"/>
        <v>32.800000000000196</v>
      </c>
      <c r="P335">
        <f t="shared" ca="1" si="46"/>
        <v>32.491119602158101</v>
      </c>
      <c r="Q335">
        <f t="shared" ca="1" si="49"/>
        <v>32.974981279161298</v>
      </c>
      <c r="S335">
        <f t="shared" ca="1" si="47"/>
        <v>2.2023386647721801</v>
      </c>
      <c r="T335">
        <f t="shared" ca="1" si="48"/>
        <v>2.2046427679959999</v>
      </c>
      <c r="V335">
        <f t="shared" ca="1" si="43"/>
        <v>2.2038095238095203</v>
      </c>
      <c r="Y335">
        <f t="shared" si="44"/>
        <v>32.800000000000196</v>
      </c>
      <c r="Z335">
        <f t="shared" ca="1" si="45"/>
        <v>2.2038095238095203</v>
      </c>
    </row>
    <row r="336" spans="14:26" x14ac:dyDescent="0.25">
      <c r="N336">
        <f t="shared" si="42"/>
        <v>32.900000000000198</v>
      </c>
      <c r="P336">
        <f t="shared" ca="1" si="46"/>
        <v>32.491119602158101</v>
      </c>
      <c r="Q336">
        <f t="shared" ca="1" si="49"/>
        <v>32.974981279161298</v>
      </c>
      <c r="S336">
        <f t="shared" ca="1" si="47"/>
        <v>2.2023386647721801</v>
      </c>
      <c r="T336">
        <f t="shared" ca="1" si="48"/>
        <v>2.2046427679959999</v>
      </c>
      <c r="V336">
        <f t="shared" ca="1" si="43"/>
        <v>2.2042857142857097</v>
      </c>
      <c r="Y336">
        <f t="shared" si="44"/>
        <v>32.900000000000198</v>
      </c>
      <c r="Z336">
        <f t="shared" ca="1" si="45"/>
        <v>2.2042857142857097</v>
      </c>
    </row>
    <row r="337" spans="14:26" x14ac:dyDescent="0.25">
      <c r="N337">
        <f t="shared" ref="N337:N400" si="50">IF(N336&lt;$I$2,N336+(1/N$2),"")</f>
        <v>33.000000000000199</v>
      </c>
      <c r="P337">
        <f t="shared" ca="1" si="46"/>
        <v>32.974981279161298</v>
      </c>
      <c r="Q337">
        <f t="shared" ca="1" si="49"/>
        <v>33.221328315508501</v>
      </c>
      <c r="S337">
        <f t="shared" ca="1" si="47"/>
        <v>2.2046427679959999</v>
      </c>
      <c r="T337">
        <f t="shared" ca="1" si="48"/>
        <v>1.1105777538833701</v>
      </c>
      <c r="V337">
        <f t="shared" ref="V337:V400" ca="1" si="51">IFERROR(S337+(T337-S337)*((N337-P337)/(Q337-P337)),"")</f>
        <v>2.0935307872165212</v>
      </c>
      <c r="Y337">
        <f t="shared" ref="Y337:Y400" si="52">IF(ISNUMBER(N337),N337,NA())</f>
        <v>33.000000000000199</v>
      </c>
      <c r="Z337">
        <f t="shared" ref="Z337:Z400" ca="1" si="53">IF(ISNUMBER(V337),V337,NA())</f>
        <v>2.0935307872165212</v>
      </c>
    </row>
    <row r="338" spans="14:26" x14ac:dyDescent="0.25">
      <c r="N338">
        <f t="shared" si="50"/>
        <v>33.1000000000002</v>
      </c>
      <c r="P338">
        <f t="shared" ca="1" si="46"/>
        <v>32.974981279161298</v>
      </c>
      <c r="Q338">
        <f t="shared" ca="1" si="49"/>
        <v>33.221328315508501</v>
      </c>
      <c r="S338">
        <f t="shared" ca="1" si="47"/>
        <v>2.2046427679959999</v>
      </c>
      <c r="T338">
        <f t="shared" ca="1" si="48"/>
        <v>1.1105777538833701</v>
      </c>
      <c r="V338">
        <f t="shared" ca="1" si="51"/>
        <v>1.6494154325789014</v>
      </c>
      <c r="Y338">
        <f t="shared" si="52"/>
        <v>33.1000000000002</v>
      </c>
      <c r="Z338">
        <f t="shared" ca="1" si="53"/>
        <v>1.6494154325789014</v>
      </c>
    </row>
    <row r="339" spans="14:26" x14ac:dyDescent="0.25">
      <c r="N339">
        <f t="shared" si="50"/>
        <v>33.200000000000202</v>
      </c>
      <c r="P339">
        <f t="shared" ca="1" si="46"/>
        <v>32.974981279161298</v>
      </c>
      <c r="Q339">
        <f t="shared" ca="1" si="49"/>
        <v>33.221328315508501</v>
      </c>
      <c r="S339">
        <f t="shared" ca="1" si="47"/>
        <v>2.2046427679959999</v>
      </c>
      <c r="T339">
        <f t="shared" ca="1" si="48"/>
        <v>1.1105777538833701</v>
      </c>
      <c r="V339">
        <f t="shared" ca="1" si="51"/>
        <v>1.2053000779412817</v>
      </c>
      <c r="Y339">
        <f t="shared" si="52"/>
        <v>33.200000000000202</v>
      </c>
      <c r="Z339">
        <f t="shared" ca="1" si="53"/>
        <v>1.2053000779412817</v>
      </c>
    </row>
    <row r="340" spans="14:26" x14ac:dyDescent="0.25">
      <c r="N340">
        <f t="shared" si="50"/>
        <v>33.300000000000203</v>
      </c>
      <c r="P340">
        <f t="shared" ca="1" si="46"/>
        <v>33.221328315508501</v>
      </c>
      <c r="Q340">
        <f t="shared" ca="1" si="49"/>
        <v>33.782377450509699</v>
      </c>
      <c r="S340">
        <f t="shared" ca="1" si="47"/>
        <v>1.1105777538833701</v>
      </c>
      <c r="T340">
        <f t="shared" ca="1" si="48"/>
        <v>1.9703922735738499</v>
      </c>
      <c r="V340">
        <f t="shared" ca="1" si="51"/>
        <v>1.2311430527039975</v>
      </c>
      <c r="Y340">
        <f t="shared" si="52"/>
        <v>33.300000000000203</v>
      </c>
      <c r="Z340">
        <f t="shared" ca="1" si="53"/>
        <v>1.2311430527039975</v>
      </c>
    </row>
    <row r="341" spans="14:26" x14ac:dyDescent="0.25">
      <c r="N341">
        <f t="shared" si="50"/>
        <v>33.400000000000205</v>
      </c>
      <c r="P341">
        <f t="shared" ca="1" si="46"/>
        <v>33.221328315508501</v>
      </c>
      <c r="Q341">
        <f t="shared" ca="1" si="49"/>
        <v>33.782377450509699</v>
      </c>
      <c r="S341">
        <f t="shared" ca="1" si="47"/>
        <v>1.1105777538833701</v>
      </c>
      <c r="T341">
        <f t="shared" ca="1" si="48"/>
        <v>1.9703922735738499</v>
      </c>
      <c r="V341">
        <f t="shared" ca="1" si="51"/>
        <v>1.3843942505137323</v>
      </c>
      <c r="Y341">
        <f t="shared" si="52"/>
        <v>33.400000000000205</v>
      </c>
      <c r="Z341">
        <f t="shared" ca="1" si="53"/>
        <v>1.3843942505137323</v>
      </c>
    </row>
    <row r="342" spans="14:26" x14ac:dyDescent="0.25">
      <c r="N342">
        <f t="shared" si="50"/>
        <v>33.500000000000206</v>
      </c>
      <c r="P342">
        <f t="shared" ca="1" si="46"/>
        <v>33.221328315508501</v>
      </c>
      <c r="Q342">
        <f t="shared" ca="1" si="49"/>
        <v>33.782377450509699</v>
      </c>
      <c r="S342">
        <f t="shared" ca="1" si="47"/>
        <v>1.1105777538833701</v>
      </c>
      <c r="T342">
        <f t="shared" ca="1" si="48"/>
        <v>1.9703922735738499</v>
      </c>
      <c r="V342">
        <f t="shared" ca="1" si="51"/>
        <v>1.5376454483234669</v>
      </c>
      <c r="Y342">
        <f t="shared" si="52"/>
        <v>33.500000000000206</v>
      </c>
      <c r="Z342">
        <f t="shared" ca="1" si="53"/>
        <v>1.5376454483234669</v>
      </c>
    </row>
    <row r="343" spans="14:26" x14ac:dyDescent="0.25">
      <c r="N343">
        <f t="shared" si="50"/>
        <v>33.600000000000207</v>
      </c>
      <c r="P343">
        <f t="shared" ca="1" si="46"/>
        <v>33.221328315508501</v>
      </c>
      <c r="Q343">
        <f t="shared" ca="1" si="49"/>
        <v>33.782377450509699</v>
      </c>
      <c r="S343">
        <f t="shared" ca="1" si="47"/>
        <v>1.1105777538833701</v>
      </c>
      <c r="T343">
        <f t="shared" ca="1" si="48"/>
        <v>1.9703922735738499</v>
      </c>
      <c r="V343">
        <f t="shared" ca="1" si="51"/>
        <v>1.6908966461332016</v>
      </c>
      <c r="Y343">
        <f t="shared" si="52"/>
        <v>33.600000000000207</v>
      </c>
      <c r="Z343">
        <f t="shared" ca="1" si="53"/>
        <v>1.6908966461332016</v>
      </c>
    </row>
    <row r="344" spans="14:26" x14ac:dyDescent="0.25">
      <c r="N344">
        <f t="shared" si="50"/>
        <v>33.700000000000209</v>
      </c>
      <c r="P344">
        <f t="shared" ca="1" si="46"/>
        <v>33.221328315508501</v>
      </c>
      <c r="Q344">
        <f t="shared" ca="1" si="49"/>
        <v>33.782377450509699</v>
      </c>
      <c r="S344">
        <f t="shared" ca="1" si="47"/>
        <v>1.1105777538833701</v>
      </c>
      <c r="T344">
        <f t="shared" ca="1" si="48"/>
        <v>1.9703922735738499</v>
      </c>
      <c r="V344">
        <f t="shared" ca="1" si="51"/>
        <v>1.8441478439429364</v>
      </c>
      <c r="Y344">
        <f t="shared" si="52"/>
        <v>33.700000000000209</v>
      </c>
      <c r="Z344">
        <f t="shared" ca="1" si="53"/>
        <v>1.8441478439429364</v>
      </c>
    </row>
    <row r="345" spans="14:26" x14ac:dyDescent="0.25">
      <c r="N345">
        <f t="shared" si="50"/>
        <v>33.80000000000021</v>
      </c>
      <c r="P345">
        <f t="shared" ca="1" si="46"/>
        <v>33.782377450509699</v>
      </c>
      <c r="Q345">
        <f t="shared" ca="1" si="49"/>
        <v>33.945584762197299</v>
      </c>
      <c r="S345">
        <f t="shared" ca="1" si="47"/>
        <v>1.9703922735738499</v>
      </c>
      <c r="T345">
        <f t="shared" ca="1" si="48"/>
        <v>1.49497897505808</v>
      </c>
      <c r="V345">
        <f t="shared" ca="1" si="51"/>
        <v>1.9190588235285611</v>
      </c>
      <c r="Y345">
        <f t="shared" si="52"/>
        <v>33.80000000000021</v>
      </c>
      <c r="Z345">
        <f t="shared" ca="1" si="53"/>
        <v>1.9190588235285611</v>
      </c>
    </row>
    <row r="346" spans="14:26" x14ac:dyDescent="0.25">
      <c r="N346">
        <f t="shared" si="50"/>
        <v>33.900000000000212</v>
      </c>
      <c r="P346">
        <f t="shared" ca="1" si="46"/>
        <v>33.782377450509699</v>
      </c>
      <c r="Q346">
        <f t="shared" ca="1" si="49"/>
        <v>33.945584762197299</v>
      </c>
      <c r="S346">
        <f t="shared" ca="1" si="47"/>
        <v>1.9703922735738499</v>
      </c>
      <c r="T346">
        <f t="shared" ca="1" si="48"/>
        <v>1.49497897505808</v>
      </c>
      <c r="V346">
        <f t="shared" ca="1" si="51"/>
        <v>1.6277647058815654</v>
      </c>
      <c r="Y346">
        <f t="shared" si="52"/>
        <v>33.900000000000212</v>
      </c>
      <c r="Z346">
        <f t="shared" ca="1" si="53"/>
        <v>1.6277647058815654</v>
      </c>
    </row>
    <row r="347" spans="14:26" x14ac:dyDescent="0.25">
      <c r="N347">
        <f t="shared" si="50"/>
        <v>34.000000000000213</v>
      </c>
      <c r="P347">
        <f t="shared" ca="1" si="46"/>
        <v>33.945584762197299</v>
      </c>
      <c r="Q347">
        <f t="shared" ca="1" si="49"/>
        <v>34.266815153318802</v>
      </c>
      <c r="S347">
        <f t="shared" ca="1" si="47"/>
        <v>1.49497897505808</v>
      </c>
      <c r="T347">
        <f t="shared" ca="1" si="48"/>
        <v>1.8298419769205601</v>
      </c>
      <c r="V347">
        <f t="shared" ca="1" si="51"/>
        <v>1.5517035265991956</v>
      </c>
      <c r="Y347">
        <f t="shared" si="52"/>
        <v>34.000000000000213</v>
      </c>
      <c r="Z347">
        <f t="shared" ca="1" si="53"/>
        <v>1.5517035265991956</v>
      </c>
    </row>
    <row r="348" spans="14:26" x14ac:dyDescent="0.25">
      <c r="N348">
        <f t="shared" si="50"/>
        <v>34.100000000000215</v>
      </c>
      <c r="P348">
        <f t="shared" ca="1" si="46"/>
        <v>33.945584762197299</v>
      </c>
      <c r="Q348">
        <f t="shared" ca="1" si="49"/>
        <v>34.266815153318802</v>
      </c>
      <c r="S348">
        <f t="shared" ca="1" si="47"/>
        <v>1.49497897505808</v>
      </c>
      <c r="T348">
        <f t="shared" ca="1" si="48"/>
        <v>1.8298419769205601</v>
      </c>
      <c r="V348">
        <f t="shared" ca="1" si="51"/>
        <v>1.6559473998807326</v>
      </c>
      <c r="Y348">
        <f t="shared" si="52"/>
        <v>34.100000000000215</v>
      </c>
      <c r="Z348">
        <f t="shared" ca="1" si="53"/>
        <v>1.6559473998807326</v>
      </c>
    </row>
    <row r="349" spans="14:26" x14ac:dyDescent="0.25">
      <c r="N349">
        <f t="shared" si="50"/>
        <v>34.200000000000216</v>
      </c>
      <c r="P349">
        <f t="shared" ca="1" si="46"/>
        <v>33.945584762197299</v>
      </c>
      <c r="Q349">
        <f t="shared" ca="1" si="49"/>
        <v>34.266815153318802</v>
      </c>
      <c r="S349">
        <f t="shared" ca="1" si="47"/>
        <v>1.49497897505808</v>
      </c>
      <c r="T349">
        <f t="shared" ca="1" si="48"/>
        <v>1.8298419769205601</v>
      </c>
      <c r="V349">
        <f t="shared" ca="1" si="51"/>
        <v>1.7601912731622693</v>
      </c>
      <c r="Y349">
        <f t="shared" si="52"/>
        <v>34.200000000000216</v>
      </c>
      <c r="Z349">
        <f t="shared" ca="1" si="53"/>
        <v>1.7601912731622693</v>
      </c>
    </row>
    <row r="350" spans="14:26" x14ac:dyDescent="0.25">
      <c r="N350">
        <f t="shared" si="50"/>
        <v>34.300000000000217</v>
      </c>
      <c r="P350">
        <f t="shared" ref="P350:P413" ca="1" si="54">OFFSET($I$7,MATCH($N350,$I$7:$I$143,1)-1,0)</f>
        <v>34.266815153318802</v>
      </c>
      <c r="Q350">
        <f t="shared" ca="1" si="49"/>
        <v>34.674449415333797</v>
      </c>
      <c r="S350">
        <f t="shared" ca="1" si="47"/>
        <v>1.8298419769205601</v>
      </c>
      <c r="T350">
        <f t="shared" ca="1" si="48"/>
        <v>0.73654499721587596</v>
      </c>
      <c r="V350">
        <f t="shared" ca="1" si="51"/>
        <v>1.7408384361744695</v>
      </c>
      <c r="Y350">
        <f t="shared" si="52"/>
        <v>34.300000000000217</v>
      </c>
      <c r="Z350">
        <f t="shared" ca="1" si="53"/>
        <v>1.7408384361744695</v>
      </c>
    </row>
    <row r="351" spans="14:26" x14ac:dyDescent="0.25">
      <c r="N351">
        <f t="shared" si="50"/>
        <v>34.400000000000219</v>
      </c>
      <c r="P351">
        <f t="shared" ca="1" si="54"/>
        <v>34.266815153318802</v>
      </c>
      <c r="Q351">
        <f t="shared" ca="1" si="49"/>
        <v>34.674449415333797</v>
      </c>
      <c r="S351">
        <f t="shared" ca="1" si="47"/>
        <v>1.8298419769205601</v>
      </c>
      <c r="T351">
        <f t="shared" ca="1" si="48"/>
        <v>0.73654499721587596</v>
      </c>
      <c r="V351">
        <f t="shared" ca="1" si="51"/>
        <v>1.4726330664147302</v>
      </c>
      <c r="Y351">
        <f t="shared" si="52"/>
        <v>34.400000000000219</v>
      </c>
      <c r="Z351">
        <f t="shared" ca="1" si="53"/>
        <v>1.4726330664147302</v>
      </c>
    </row>
    <row r="352" spans="14:26" x14ac:dyDescent="0.25">
      <c r="N352">
        <f t="shared" si="50"/>
        <v>34.50000000000022</v>
      </c>
      <c r="P352">
        <f t="shared" ca="1" si="54"/>
        <v>34.266815153318802</v>
      </c>
      <c r="Q352">
        <f t="shared" ca="1" si="49"/>
        <v>34.674449415333797</v>
      </c>
      <c r="S352">
        <f t="shared" ca="1" si="47"/>
        <v>1.8298419769205601</v>
      </c>
      <c r="T352">
        <f t="shared" ca="1" si="48"/>
        <v>0.73654499721587596</v>
      </c>
      <c r="V352">
        <f t="shared" ca="1" si="51"/>
        <v>1.2044276966549912</v>
      </c>
      <c r="Y352">
        <f t="shared" si="52"/>
        <v>34.50000000000022</v>
      </c>
      <c r="Z352">
        <f t="shared" ca="1" si="53"/>
        <v>1.2044276966549912</v>
      </c>
    </row>
    <row r="353" spans="14:26" x14ac:dyDescent="0.25">
      <c r="N353">
        <f t="shared" si="50"/>
        <v>34.600000000000222</v>
      </c>
      <c r="P353">
        <f t="shared" ca="1" si="54"/>
        <v>34.266815153318802</v>
      </c>
      <c r="Q353">
        <f t="shared" ca="1" si="49"/>
        <v>34.674449415333797</v>
      </c>
      <c r="S353">
        <f t="shared" ca="1" si="47"/>
        <v>1.8298419769205601</v>
      </c>
      <c r="T353">
        <f t="shared" ca="1" si="48"/>
        <v>0.73654499721587596</v>
      </c>
      <c r="V353">
        <f t="shared" ca="1" si="51"/>
        <v>0.93622232689525209</v>
      </c>
      <c r="Y353">
        <f t="shared" si="52"/>
        <v>34.600000000000222</v>
      </c>
      <c r="Z353">
        <f t="shared" ca="1" si="53"/>
        <v>0.93622232689525209</v>
      </c>
    </row>
    <row r="354" spans="14:26" x14ac:dyDescent="0.25">
      <c r="N354">
        <f t="shared" si="50"/>
        <v>34.700000000000223</v>
      </c>
      <c r="P354">
        <f t="shared" ca="1" si="54"/>
        <v>34.674449415333797</v>
      </c>
      <c r="Q354">
        <f t="shared" ca="1" si="49"/>
        <v>35.073443290259398</v>
      </c>
      <c r="S354">
        <f t="shared" ca="1" si="47"/>
        <v>0.73654499721587596</v>
      </c>
      <c r="T354">
        <f t="shared" ca="1" si="48"/>
        <v>1.7860640156679</v>
      </c>
      <c r="V354">
        <f t="shared" ca="1" si="51"/>
        <v>0.80375360924026695</v>
      </c>
      <c r="Y354">
        <f t="shared" si="52"/>
        <v>34.700000000000223</v>
      </c>
      <c r="Z354">
        <f t="shared" ca="1" si="53"/>
        <v>0.80375360924026695</v>
      </c>
    </row>
    <row r="355" spans="14:26" x14ac:dyDescent="0.25">
      <c r="N355">
        <f t="shared" si="50"/>
        <v>34.800000000000225</v>
      </c>
      <c r="P355">
        <f t="shared" ca="1" si="54"/>
        <v>34.674449415333797</v>
      </c>
      <c r="Q355">
        <f t="shared" ca="1" si="49"/>
        <v>35.073443290259398</v>
      </c>
      <c r="S355">
        <f t="shared" ca="1" si="47"/>
        <v>0.73654499721587596</v>
      </c>
      <c r="T355">
        <f t="shared" ca="1" si="48"/>
        <v>1.7860640156679</v>
      </c>
      <c r="V355">
        <f t="shared" ca="1" si="51"/>
        <v>1.066794995188294</v>
      </c>
      <c r="Y355">
        <f t="shared" si="52"/>
        <v>34.800000000000225</v>
      </c>
      <c r="Z355">
        <f t="shared" ca="1" si="53"/>
        <v>1.066794995188294</v>
      </c>
    </row>
    <row r="356" spans="14:26" x14ac:dyDescent="0.25">
      <c r="N356">
        <f t="shared" si="50"/>
        <v>34.900000000000226</v>
      </c>
      <c r="P356">
        <f t="shared" ca="1" si="54"/>
        <v>34.674449415333797</v>
      </c>
      <c r="Q356">
        <f t="shared" ca="1" si="49"/>
        <v>35.073443290259398</v>
      </c>
      <c r="S356">
        <f t="shared" ca="1" si="47"/>
        <v>0.73654499721587596</v>
      </c>
      <c r="T356">
        <f t="shared" ca="1" si="48"/>
        <v>1.7860640156679</v>
      </c>
      <c r="V356">
        <f t="shared" ca="1" si="51"/>
        <v>1.329836381136321</v>
      </c>
      <c r="Y356">
        <f t="shared" si="52"/>
        <v>34.900000000000226</v>
      </c>
      <c r="Z356">
        <f t="shared" ca="1" si="53"/>
        <v>1.329836381136321</v>
      </c>
    </row>
    <row r="357" spans="14:26" x14ac:dyDescent="0.25">
      <c r="N357">
        <f t="shared" si="50"/>
        <v>35.000000000000227</v>
      </c>
      <c r="P357">
        <f t="shared" ca="1" si="54"/>
        <v>34.674449415333797</v>
      </c>
      <c r="Q357">
        <f t="shared" ca="1" si="49"/>
        <v>35.073443290259398</v>
      </c>
      <c r="S357">
        <f t="shared" ca="1" si="47"/>
        <v>0.73654499721587596</v>
      </c>
      <c r="T357">
        <f t="shared" ca="1" si="48"/>
        <v>1.7860640156679</v>
      </c>
      <c r="V357">
        <f t="shared" ca="1" si="51"/>
        <v>1.5928777670843481</v>
      </c>
      <c r="Y357">
        <f t="shared" si="52"/>
        <v>35.000000000000227</v>
      </c>
      <c r="Z357">
        <f t="shared" ca="1" si="53"/>
        <v>1.5928777670843481</v>
      </c>
    </row>
    <row r="358" spans="14:26" x14ac:dyDescent="0.25">
      <c r="N358">
        <f t="shared" si="50"/>
        <v>35.100000000000229</v>
      </c>
      <c r="P358">
        <f t="shared" ca="1" si="54"/>
        <v>35.073443290259398</v>
      </c>
      <c r="Q358">
        <f t="shared" ca="1" si="49"/>
        <v>35.396017741594797</v>
      </c>
      <c r="S358">
        <f t="shared" ca="1" si="47"/>
        <v>1.7860640156679</v>
      </c>
      <c r="T358">
        <f t="shared" ca="1" si="48"/>
        <v>1.78760008448378</v>
      </c>
      <c r="V358">
        <f t="shared" ca="1" si="51"/>
        <v>1.7861904761904752</v>
      </c>
      <c r="Y358">
        <f t="shared" si="52"/>
        <v>35.100000000000229</v>
      </c>
      <c r="Z358">
        <f t="shared" ca="1" si="53"/>
        <v>1.7861904761904752</v>
      </c>
    </row>
    <row r="359" spans="14:26" x14ac:dyDescent="0.25">
      <c r="N359">
        <f t="shared" si="50"/>
        <v>35.20000000000023</v>
      </c>
      <c r="P359">
        <f t="shared" ca="1" si="54"/>
        <v>35.073443290259398</v>
      </c>
      <c r="Q359">
        <f t="shared" ca="1" si="49"/>
        <v>35.396017741594797</v>
      </c>
      <c r="S359">
        <f t="shared" ca="1" si="47"/>
        <v>1.7860640156679</v>
      </c>
      <c r="T359">
        <f t="shared" ca="1" si="48"/>
        <v>1.78760008448378</v>
      </c>
      <c r="V359">
        <f t="shared" ca="1" si="51"/>
        <v>1.7866666666666648</v>
      </c>
      <c r="Y359">
        <f t="shared" si="52"/>
        <v>35.20000000000023</v>
      </c>
      <c r="Z359">
        <f t="shared" ca="1" si="53"/>
        <v>1.7866666666666648</v>
      </c>
    </row>
    <row r="360" spans="14:26" x14ac:dyDescent="0.25">
      <c r="N360">
        <f t="shared" si="50"/>
        <v>35.300000000000232</v>
      </c>
      <c r="P360">
        <f t="shared" ca="1" si="54"/>
        <v>35.073443290259398</v>
      </c>
      <c r="Q360">
        <f t="shared" ca="1" si="49"/>
        <v>35.396017741594797</v>
      </c>
      <c r="S360">
        <f t="shared" ca="1" si="47"/>
        <v>1.7860640156679</v>
      </c>
      <c r="T360">
        <f t="shared" ca="1" si="48"/>
        <v>1.78760008448378</v>
      </c>
      <c r="V360">
        <f t="shared" ca="1" si="51"/>
        <v>1.7871428571428545</v>
      </c>
      <c r="Y360">
        <f t="shared" si="52"/>
        <v>35.300000000000232</v>
      </c>
      <c r="Z360">
        <f t="shared" ca="1" si="53"/>
        <v>1.7871428571428545</v>
      </c>
    </row>
    <row r="361" spans="14:26" x14ac:dyDescent="0.25">
      <c r="N361">
        <f t="shared" si="50"/>
        <v>35.400000000000233</v>
      </c>
      <c r="P361">
        <f t="shared" ca="1" si="54"/>
        <v>35.396017741594797</v>
      </c>
      <c r="Q361">
        <f t="shared" ca="1" si="49"/>
        <v>35.802691960599802</v>
      </c>
      <c r="S361">
        <f t="shared" ca="1" si="47"/>
        <v>1.78760008448378</v>
      </c>
      <c r="T361">
        <f t="shared" ca="1" si="48"/>
        <v>0.93239377124094902</v>
      </c>
      <c r="V361">
        <f t="shared" ca="1" si="51"/>
        <v>1.7792256846075696</v>
      </c>
      <c r="Y361">
        <f t="shared" si="52"/>
        <v>35.400000000000233</v>
      </c>
      <c r="Z361">
        <f t="shared" ca="1" si="53"/>
        <v>1.7792256846075696</v>
      </c>
    </row>
    <row r="362" spans="14:26" x14ac:dyDescent="0.25">
      <c r="N362">
        <f t="shared" si="50"/>
        <v>35.500000000000234</v>
      </c>
      <c r="P362">
        <f t="shared" ca="1" si="54"/>
        <v>35.396017741594797</v>
      </c>
      <c r="Q362">
        <f t="shared" ca="1" si="49"/>
        <v>35.802691960599802</v>
      </c>
      <c r="S362">
        <f t="shared" ca="1" si="47"/>
        <v>1.78760008448378</v>
      </c>
      <c r="T362">
        <f t="shared" ca="1" si="48"/>
        <v>0.93239377124094902</v>
      </c>
      <c r="V362">
        <f t="shared" ca="1" si="51"/>
        <v>1.568932955617951</v>
      </c>
      <c r="Y362">
        <f t="shared" si="52"/>
        <v>35.500000000000234</v>
      </c>
      <c r="Z362">
        <f t="shared" ca="1" si="53"/>
        <v>1.568932955617951</v>
      </c>
    </row>
    <row r="363" spans="14:26" x14ac:dyDescent="0.25">
      <c r="N363">
        <f t="shared" si="50"/>
        <v>35.600000000000236</v>
      </c>
      <c r="P363">
        <f t="shared" ca="1" si="54"/>
        <v>35.396017741594797</v>
      </c>
      <c r="Q363">
        <f t="shared" ca="1" si="49"/>
        <v>35.802691960599802</v>
      </c>
      <c r="S363">
        <f t="shared" ca="1" si="47"/>
        <v>1.78760008448378</v>
      </c>
      <c r="T363">
        <f t="shared" ca="1" si="48"/>
        <v>0.93239377124094902</v>
      </c>
      <c r="V363">
        <f t="shared" ca="1" si="51"/>
        <v>1.3586402266283324</v>
      </c>
      <c r="Y363">
        <f t="shared" si="52"/>
        <v>35.600000000000236</v>
      </c>
      <c r="Z363">
        <f t="shared" ca="1" si="53"/>
        <v>1.3586402266283324</v>
      </c>
    </row>
    <row r="364" spans="14:26" x14ac:dyDescent="0.25">
      <c r="N364">
        <f t="shared" si="50"/>
        <v>35.700000000000237</v>
      </c>
      <c r="P364">
        <f t="shared" ca="1" si="54"/>
        <v>35.396017741594797</v>
      </c>
      <c r="Q364">
        <f t="shared" ca="1" si="49"/>
        <v>35.802691960599802</v>
      </c>
      <c r="S364">
        <f t="shared" ca="1" si="47"/>
        <v>1.78760008448378</v>
      </c>
      <c r="T364">
        <f t="shared" ca="1" si="48"/>
        <v>0.93239377124094902</v>
      </c>
      <c r="V364">
        <f t="shared" ca="1" si="51"/>
        <v>1.148347497638714</v>
      </c>
      <c r="Y364">
        <f t="shared" si="52"/>
        <v>35.700000000000237</v>
      </c>
      <c r="Z364">
        <f t="shared" ca="1" si="53"/>
        <v>1.148347497638714</v>
      </c>
    </row>
    <row r="365" spans="14:26" x14ac:dyDescent="0.25">
      <c r="N365">
        <f t="shared" si="50"/>
        <v>35.800000000000239</v>
      </c>
      <c r="P365">
        <f t="shared" ca="1" si="54"/>
        <v>35.396017741594797</v>
      </c>
      <c r="Q365">
        <f t="shared" ca="1" si="49"/>
        <v>35.802691960599802</v>
      </c>
      <c r="S365">
        <f t="shared" ca="1" si="47"/>
        <v>1.78760008448378</v>
      </c>
      <c r="T365">
        <f t="shared" ca="1" si="48"/>
        <v>0.93239377124094902</v>
      </c>
      <c r="V365">
        <f t="shared" ca="1" si="51"/>
        <v>0.93805476864909532</v>
      </c>
      <c r="Y365">
        <f t="shared" si="52"/>
        <v>35.800000000000239</v>
      </c>
      <c r="Z365">
        <f t="shared" ca="1" si="53"/>
        <v>0.93805476864909532</v>
      </c>
    </row>
    <row r="366" spans="14:26" x14ac:dyDescent="0.25">
      <c r="N366">
        <f t="shared" si="50"/>
        <v>35.90000000000024</v>
      </c>
      <c r="P366">
        <f t="shared" ca="1" si="54"/>
        <v>35.802691960599802</v>
      </c>
      <c r="Q366">
        <f t="shared" ca="1" si="49"/>
        <v>36.122962308711401</v>
      </c>
      <c r="S366">
        <f t="shared" ca="1" si="47"/>
        <v>0.93239377124094902</v>
      </c>
      <c r="T366">
        <f t="shared" ca="1" si="48"/>
        <v>1.5053474395652899</v>
      </c>
      <c r="V366">
        <f t="shared" ca="1" si="51"/>
        <v>1.1064748201443693</v>
      </c>
      <c r="Y366">
        <f t="shared" si="52"/>
        <v>35.90000000000024</v>
      </c>
      <c r="Z366">
        <f t="shared" ca="1" si="53"/>
        <v>1.1064748201443693</v>
      </c>
    </row>
    <row r="367" spans="14:26" x14ac:dyDescent="0.25">
      <c r="N367">
        <f t="shared" si="50"/>
        <v>36.000000000000242</v>
      </c>
      <c r="P367">
        <f t="shared" ca="1" si="54"/>
        <v>35.802691960599802</v>
      </c>
      <c r="Q367">
        <f t="shared" ca="1" si="49"/>
        <v>36.122962308711401</v>
      </c>
      <c r="S367">
        <f t="shared" ca="1" si="47"/>
        <v>0.93239377124094902</v>
      </c>
      <c r="T367">
        <f t="shared" ca="1" si="48"/>
        <v>1.5053474395652899</v>
      </c>
      <c r="V367">
        <f t="shared" ca="1" si="51"/>
        <v>1.2853717026383746</v>
      </c>
      <c r="Y367">
        <f t="shared" si="52"/>
        <v>36.000000000000242</v>
      </c>
      <c r="Z367">
        <f t="shared" ca="1" si="53"/>
        <v>1.2853717026383746</v>
      </c>
    </row>
    <row r="368" spans="14:26" x14ac:dyDescent="0.25">
      <c r="N368">
        <f t="shared" si="50"/>
        <v>36.100000000000243</v>
      </c>
      <c r="P368">
        <f t="shared" ca="1" si="54"/>
        <v>35.802691960599802</v>
      </c>
      <c r="Q368">
        <f t="shared" ca="1" si="49"/>
        <v>36.122962308711401</v>
      </c>
      <c r="S368">
        <f t="shared" ca="1" si="47"/>
        <v>0.93239377124094902</v>
      </c>
      <c r="T368">
        <f t="shared" ca="1" si="48"/>
        <v>1.5053474395652899</v>
      </c>
      <c r="V368">
        <f t="shared" ca="1" si="51"/>
        <v>1.46426858513238</v>
      </c>
      <c r="Y368">
        <f t="shared" si="52"/>
        <v>36.100000000000243</v>
      </c>
      <c r="Z368">
        <f t="shared" ca="1" si="53"/>
        <v>1.46426858513238</v>
      </c>
    </row>
    <row r="369" spans="14:26" x14ac:dyDescent="0.25">
      <c r="N369">
        <f t="shared" si="50"/>
        <v>36.200000000000244</v>
      </c>
      <c r="P369">
        <f t="shared" ca="1" si="54"/>
        <v>36.122962308711401</v>
      </c>
      <c r="Q369">
        <f t="shared" ca="1" si="49"/>
        <v>36.524068278258802</v>
      </c>
      <c r="S369">
        <f t="shared" ca="1" si="47"/>
        <v>1.5053474395652899</v>
      </c>
      <c r="T369">
        <f t="shared" ca="1" si="48"/>
        <v>2.0310669918012301</v>
      </c>
      <c r="V369">
        <f t="shared" ca="1" si="51"/>
        <v>1.6063188128294699</v>
      </c>
      <c r="Y369">
        <f t="shared" si="52"/>
        <v>36.200000000000244</v>
      </c>
      <c r="Z369">
        <f t="shared" ca="1" si="53"/>
        <v>1.6063188128294699</v>
      </c>
    </row>
    <row r="370" spans="14:26" x14ac:dyDescent="0.25">
      <c r="N370">
        <f t="shared" si="50"/>
        <v>36.300000000000246</v>
      </c>
      <c r="P370">
        <f t="shared" ca="1" si="54"/>
        <v>36.122962308711401</v>
      </c>
      <c r="Q370">
        <f t="shared" ca="1" si="49"/>
        <v>36.524068278258802</v>
      </c>
      <c r="S370">
        <f t="shared" ca="1" si="47"/>
        <v>1.5053474395652899</v>
      </c>
      <c r="T370">
        <f t="shared" ca="1" si="48"/>
        <v>2.0310669918012301</v>
      </c>
      <c r="V370">
        <f t="shared" ca="1" si="51"/>
        <v>1.7373863092392483</v>
      </c>
      <c r="Y370">
        <f t="shared" si="52"/>
        <v>36.300000000000246</v>
      </c>
      <c r="Z370">
        <f t="shared" ca="1" si="53"/>
        <v>1.7373863092392483</v>
      </c>
    </row>
    <row r="371" spans="14:26" x14ac:dyDescent="0.25">
      <c r="N371">
        <f t="shared" si="50"/>
        <v>36.400000000000247</v>
      </c>
      <c r="P371">
        <f t="shared" ca="1" si="54"/>
        <v>36.122962308711401</v>
      </c>
      <c r="Q371">
        <f t="shared" ca="1" si="49"/>
        <v>36.524068278258802</v>
      </c>
      <c r="S371">
        <f t="shared" ca="1" si="47"/>
        <v>1.5053474395652899</v>
      </c>
      <c r="T371">
        <f t="shared" ca="1" si="48"/>
        <v>2.0310669918012301</v>
      </c>
      <c r="V371">
        <f t="shared" ca="1" si="51"/>
        <v>1.8684538056490267</v>
      </c>
      <c r="Y371">
        <f t="shared" si="52"/>
        <v>36.400000000000247</v>
      </c>
      <c r="Z371">
        <f t="shared" ca="1" si="53"/>
        <v>1.8684538056490267</v>
      </c>
    </row>
    <row r="372" spans="14:26" x14ac:dyDescent="0.25">
      <c r="N372">
        <f t="shared" si="50"/>
        <v>36.500000000000249</v>
      </c>
      <c r="P372">
        <f t="shared" ca="1" si="54"/>
        <v>36.122962308711401</v>
      </c>
      <c r="Q372">
        <f t="shared" ca="1" si="49"/>
        <v>36.524068278258802</v>
      </c>
      <c r="S372">
        <f t="shared" ca="1" si="47"/>
        <v>1.5053474395652899</v>
      </c>
      <c r="T372">
        <f t="shared" ca="1" si="48"/>
        <v>2.0310669918012301</v>
      </c>
      <c r="V372">
        <f t="shared" ca="1" si="51"/>
        <v>1.9995213020588052</v>
      </c>
      <c r="Y372">
        <f t="shared" si="52"/>
        <v>36.500000000000249</v>
      </c>
      <c r="Z372">
        <f t="shared" ca="1" si="53"/>
        <v>1.9995213020588052</v>
      </c>
    </row>
    <row r="373" spans="14:26" x14ac:dyDescent="0.25">
      <c r="N373">
        <f t="shared" si="50"/>
        <v>36.60000000000025</v>
      </c>
      <c r="P373">
        <f t="shared" ca="1" si="54"/>
        <v>36.524068278258802</v>
      </c>
      <c r="Q373">
        <f t="shared" ca="1" si="49"/>
        <v>36.764271039342503</v>
      </c>
      <c r="S373">
        <f t="shared" ca="1" si="47"/>
        <v>2.0310669918012301</v>
      </c>
      <c r="T373">
        <f t="shared" ca="1" si="48"/>
        <v>2.4607822430444801</v>
      </c>
      <c r="V373">
        <f t="shared" ca="1" si="51"/>
        <v>2.1669064748206983</v>
      </c>
      <c r="Y373">
        <f t="shared" si="52"/>
        <v>36.60000000000025</v>
      </c>
      <c r="Z373">
        <f t="shared" ca="1" si="53"/>
        <v>2.1669064748206983</v>
      </c>
    </row>
    <row r="374" spans="14:26" x14ac:dyDescent="0.25">
      <c r="N374">
        <f t="shared" si="50"/>
        <v>36.700000000000252</v>
      </c>
      <c r="P374">
        <f t="shared" ca="1" si="54"/>
        <v>36.524068278258802</v>
      </c>
      <c r="Q374">
        <f t="shared" ca="1" si="49"/>
        <v>36.764271039342503</v>
      </c>
      <c r="S374">
        <f t="shared" ca="1" si="47"/>
        <v>2.0310669918012301</v>
      </c>
      <c r="T374">
        <f t="shared" ca="1" si="48"/>
        <v>2.4607822430444801</v>
      </c>
      <c r="V374">
        <f t="shared" ca="1" si="51"/>
        <v>2.3458033573146997</v>
      </c>
      <c r="Y374">
        <f t="shared" si="52"/>
        <v>36.700000000000252</v>
      </c>
      <c r="Z374">
        <f t="shared" ca="1" si="53"/>
        <v>2.3458033573146997</v>
      </c>
    </row>
    <row r="375" spans="14:26" x14ac:dyDescent="0.25">
      <c r="N375">
        <f t="shared" si="50"/>
        <v>36.800000000000253</v>
      </c>
      <c r="P375">
        <f t="shared" ca="1" si="54"/>
        <v>36.764271039342503</v>
      </c>
      <c r="Q375">
        <f t="shared" ca="1" si="49"/>
        <v>37.249092759355598</v>
      </c>
      <c r="S375">
        <f t="shared" ca="1" si="47"/>
        <v>2.4607822430444801</v>
      </c>
      <c r="T375">
        <f t="shared" ca="1" si="48"/>
        <v>2.2249956798064501</v>
      </c>
      <c r="V375">
        <f t="shared" ca="1" si="51"/>
        <v>2.4434059405939008</v>
      </c>
      <c r="Y375">
        <f t="shared" si="52"/>
        <v>36.800000000000253</v>
      </c>
      <c r="Z375">
        <f t="shared" ca="1" si="53"/>
        <v>2.4434059405939008</v>
      </c>
    </row>
    <row r="376" spans="14:26" x14ac:dyDescent="0.25">
      <c r="N376">
        <f t="shared" si="50"/>
        <v>36.900000000000254</v>
      </c>
      <c r="P376">
        <f t="shared" ca="1" si="54"/>
        <v>36.764271039342503</v>
      </c>
      <c r="Q376">
        <f t="shared" ca="1" si="49"/>
        <v>37.249092759355598</v>
      </c>
      <c r="S376">
        <f t="shared" ca="1" si="47"/>
        <v>2.4607822430444801</v>
      </c>
      <c r="T376">
        <f t="shared" ca="1" si="48"/>
        <v>2.2249956798064501</v>
      </c>
      <c r="V376">
        <f t="shared" ca="1" si="51"/>
        <v>2.3947722772275681</v>
      </c>
      <c r="Y376">
        <f t="shared" si="52"/>
        <v>36.900000000000254</v>
      </c>
      <c r="Z376">
        <f t="shared" ca="1" si="53"/>
        <v>2.3947722772275681</v>
      </c>
    </row>
    <row r="377" spans="14:26" x14ac:dyDescent="0.25">
      <c r="N377">
        <f t="shared" si="50"/>
        <v>37.000000000000256</v>
      </c>
      <c r="P377">
        <f t="shared" ca="1" si="54"/>
        <v>36.764271039342503</v>
      </c>
      <c r="Q377">
        <f t="shared" ca="1" si="49"/>
        <v>37.249092759355598</v>
      </c>
      <c r="S377">
        <f t="shared" ca="1" si="47"/>
        <v>2.4607822430444801</v>
      </c>
      <c r="T377">
        <f t="shared" ca="1" si="48"/>
        <v>2.2249956798064501</v>
      </c>
      <c r="V377">
        <f t="shared" ca="1" si="51"/>
        <v>2.346138613861235</v>
      </c>
      <c r="Y377">
        <f t="shared" si="52"/>
        <v>37.000000000000256</v>
      </c>
      <c r="Z377">
        <f t="shared" ca="1" si="53"/>
        <v>2.346138613861235</v>
      </c>
    </row>
    <row r="378" spans="14:26" x14ac:dyDescent="0.25">
      <c r="N378">
        <f t="shared" si="50"/>
        <v>37.100000000000257</v>
      </c>
      <c r="P378">
        <f t="shared" ca="1" si="54"/>
        <v>36.764271039342503</v>
      </c>
      <c r="Q378">
        <f t="shared" ca="1" si="49"/>
        <v>37.249092759355598</v>
      </c>
      <c r="S378">
        <f t="shared" ca="1" si="47"/>
        <v>2.4607822430444801</v>
      </c>
      <c r="T378">
        <f t="shared" ca="1" si="48"/>
        <v>2.2249956798064501</v>
      </c>
      <c r="V378">
        <f t="shared" ca="1" si="51"/>
        <v>2.2975049504949023</v>
      </c>
      <c r="Y378">
        <f t="shared" si="52"/>
        <v>37.100000000000257</v>
      </c>
      <c r="Z378">
        <f t="shared" ca="1" si="53"/>
        <v>2.2975049504949023</v>
      </c>
    </row>
    <row r="379" spans="14:26" x14ac:dyDescent="0.25">
      <c r="N379">
        <f t="shared" si="50"/>
        <v>37.200000000000259</v>
      </c>
      <c r="P379">
        <f t="shared" ca="1" si="54"/>
        <v>36.764271039342503</v>
      </c>
      <c r="Q379">
        <f t="shared" ca="1" si="49"/>
        <v>37.249092759355598</v>
      </c>
      <c r="S379">
        <f t="shared" ca="1" si="47"/>
        <v>2.4607822430444801</v>
      </c>
      <c r="T379">
        <f t="shared" ca="1" si="48"/>
        <v>2.2249956798064501</v>
      </c>
      <c r="V379">
        <f t="shared" ca="1" si="51"/>
        <v>2.2488712871285692</v>
      </c>
      <c r="Y379">
        <f t="shared" si="52"/>
        <v>37.200000000000259</v>
      </c>
      <c r="Z379">
        <f t="shared" ca="1" si="53"/>
        <v>2.2488712871285692</v>
      </c>
    </row>
    <row r="380" spans="14:26" x14ac:dyDescent="0.25">
      <c r="N380">
        <f t="shared" si="50"/>
        <v>37.30000000000026</v>
      </c>
      <c r="P380">
        <f t="shared" ca="1" si="54"/>
        <v>37.249092759355598</v>
      </c>
      <c r="Q380">
        <f t="shared" ca="1" si="49"/>
        <v>37.494095735488898</v>
      </c>
      <c r="S380">
        <f t="shared" ca="1" si="47"/>
        <v>2.2249956798064501</v>
      </c>
      <c r="T380">
        <f t="shared" ca="1" si="48"/>
        <v>1.4642575987404201</v>
      </c>
      <c r="V380">
        <f t="shared" ca="1" si="51"/>
        <v>2.0669278996856226</v>
      </c>
      <c r="Y380">
        <f t="shared" si="52"/>
        <v>37.30000000000026</v>
      </c>
      <c r="Z380">
        <f t="shared" ca="1" si="53"/>
        <v>2.0669278996856226</v>
      </c>
    </row>
    <row r="381" spans="14:26" x14ac:dyDescent="0.25">
      <c r="N381">
        <f t="shared" si="50"/>
        <v>37.400000000000261</v>
      </c>
      <c r="P381">
        <f t="shared" ca="1" si="54"/>
        <v>37.249092759355598</v>
      </c>
      <c r="Q381">
        <f t="shared" ca="1" si="49"/>
        <v>37.494095735488898</v>
      </c>
      <c r="S381">
        <f t="shared" ca="1" si="47"/>
        <v>2.2249956798064501</v>
      </c>
      <c r="T381">
        <f t="shared" ca="1" si="48"/>
        <v>1.4642575987404201</v>
      </c>
      <c r="V381">
        <f t="shared" ca="1" si="51"/>
        <v>1.7564263322874607</v>
      </c>
      <c r="Y381">
        <f t="shared" si="52"/>
        <v>37.400000000000261</v>
      </c>
      <c r="Z381">
        <f t="shared" ca="1" si="53"/>
        <v>1.7564263322874607</v>
      </c>
    </row>
    <row r="382" spans="14:26" x14ac:dyDescent="0.25">
      <c r="N382">
        <f t="shared" si="50"/>
        <v>37.500000000000263</v>
      </c>
      <c r="P382">
        <f t="shared" ca="1" si="54"/>
        <v>37.494095735488898</v>
      </c>
      <c r="Q382">
        <f t="shared" ca="1" si="49"/>
        <v>37.896353756648203</v>
      </c>
      <c r="S382">
        <f t="shared" ca="1" si="47"/>
        <v>1.4642575987404201</v>
      </c>
      <c r="T382">
        <f t="shared" ca="1" si="48"/>
        <v>1.7042683512221299</v>
      </c>
      <c r="V382">
        <f t="shared" ca="1" si="51"/>
        <v>1.4677804295944568</v>
      </c>
      <c r="Y382">
        <f t="shared" si="52"/>
        <v>37.500000000000263</v>
      </c>
      <c r="Z382">
        <f t="shared" ca="1" si="53"/>
        <v>1.4677804295944568</v>
      </c>
    </row>
    <row r="383" spans="14:26" x14ac:dyDescent="0.25">
      <c r="N383">
        <f t="shared" si="50"/>
        <v>37.600000000000264</v>
      </c>
      <c r="P383">
        <f t="shared" ca="1" si="54"/>
        <v>37.494095735488898</v>
      </c>
      <c r="Q383">
        <f t="shared" ca="1" si="49"/>
        <v>37.896353756648203</v>
      </c>
      <c r="S383">
        <f t="shared" ca="1" si="47"/>
        <v>1.4642575987404201</v>
      </c>
      <c r="T383">
        <f t="shared" ca="1" si="48"/>
        <v>1.7042683512221299</v>
      </c>
      <c r="V383">
        <f t="shared" ca="1" si="51"/>
        <v>1.527446300716182</v>
      </c>
      <c r="Y383">
        <f t="shared" si="52"/>
        <v>37.600000000000264</v>
      </c>
      <c r="Z383">
        <f t="shared" ca="1" si="53"/>
        <v>1.527446300716182</v>
      </c>
    </row>
    <row r="384" spans="14:26" x14ac:dyDescent="0.25">
      <c r="N384">
        <f t="shared" si="50"/>
        <v>37.700000000000266</v>
      </c>
      <c r="P384">
        <f t="shared" ca="1" si="54"/>
        <v>37.494095735488898</v>
      </c>
      <c r="Q384">
        <f t="shared" ca="1" si="49"/>
        <v>37.896353756648203</v>
      </c>
      <c r="S384">
        <f t="shared" ca="1" si="47"/>
        <v>1.4642575987404201</v>
      </c>
      <c r="T384">
        <f t="shared" ca="1" si="48"/>
        <v>1.7042683512221299</v>
      </c>
      <c r="V384">
        <f t="shared" ca="1" si="51"/>
        <v>1.5871121718379073</v>
      </c>
      <c r="Y384">
        <f t="shared" si="52"/>
        <v>37.700000000000266</v>
      </c>
      <c r="Z384">
        <f t="shared" ca="1" si="53"/>
        <v>1.5871121718379073</v>
      </c>
    </row>
    <row r="385" spans="14:26" x14ac:dyDescent="0.25">
      <c r="N385">
        <f t="shared" si="50"/>
        <v>37.800000000000267</v>
      </c>
      <c r="P385">
        <f t="shared" ca="1" si="54"/>
        <v>37.494095735488898</v>
      </c>
      <c r="Q385">
        <f t="shared" ca="1" si="49"/>
        <v>37.896353756648203</v>
      </c>
      <c r="S385">
        <f t="shared" ca="1" si="47"/>
        <v>1.4642575987404201</v>
      </c>
      <c r="T385">
        <f t="shared" ca="1" si="48"/>
        <v>1.7042683512221299</v>
      </c>
      <c r="V385">
        <f t="shared" ca="1" si="51"/>
        <v>1.6467780429596326</v>
      </c>
      <c r="Y385">
        <f t="shared" si="52"/>
        <v>37.800000000000267</v>
      </c>
      <c r="Z385">
        <f t="shared" ca="1" si="53"/>
        <v>1.6467780429596326</v>
      </c>
    </row>
    <row r="386" spans="14:26" x14ac:dyDescent="0.25">
      <c r="N386">
        <f t="shared" si="50"/>
        <v>37.900000000000269</v>
      </c>
      <c r="P386">
        <f t="shared" ca="1" si="54"/>
        <v>37.896353756648203</v>
      </c>
      <c r="Q386">
        <f t="shared" ca="1" si="49"/>
        <v>38.218352182177703</v>
      </c>
      <c r="S386">
        <f t="shared" ca="1" si="47"/>
        <v>1.7042683512221299</v>
      </c>
      <c r="T386">
        <f t="shared" ca="1" si="48"/>
        <v>1.8486588199151299</v>
      </c>
      <c r="V386">
        <f t="shared" ca="1" si="51"/>
        <v>1.7059033989268126</v>
      </c>
      <c r="Y386">
        <f t="shared" si="52"/>
        <v>37.900000000000269</v>
      </c>
      <c r="Z386">
        <f t="shared" ca="1" si="53"/>
        <v>1.7059033989268126</v>
      </c>
    </row>
    <row r="387" spans="14:26" x14ac:dyDescent="0.25">
      <c r="N387">
        <f t="shared" si="50"/>
        <v>38.00000000000027</v>
      </c>
      <c r="P387">
        <f t="shared" ca="1" si="54"/>
        <v>37.896353756648203</v>
      </c>
      <c r="Q387">
        <f t="shared" ca="1" si="49"/>
        <v>38.218352182177703</v>
      </c>
      <c r="S387">
        <f t="shared" ca="1" si="47"/>
        <v>1.7042683512221299</v>
      </c>
      <c r="T387">
        <f t="shared" ca="1" si="48"/>
        <v>1.8486588199151299</v>
      </c>
      <c r="V387">
        <f t="shared" ca="1" si="51"/>
        <v>1.7507453786525096</v>
      </c>
      <c r="Y387">
        <f t="shared" si="52"/>
        <v>38.00000000000027</v>
      </c>
      <c r="Z387">
        <f t="shared" ca="1" si="53"/>
        <v>1.7507453786525096</v>
      </c>
    </row>
    <row r="388" spans="14:26" x14ac:dyDescent="0.25">
      <c r="N388">
        <f t="shared" si="50"/>
        <v>38.100000000000271</v>
      </c>
      <c r="P388">
        <f t="shared" ca="1" si="54"/>
        <v>37.896353756648203</v>
      </c>
      <c r="Q388">
        <f t="shared" ca="1" si="49"/>
        <v>38.218352182177703</v>
      </c>
      <c r="S388">
        <f t="shared" ca="1" si="47"/>
        <v>1.7042683512221299</v>
      </c>
      <c r="T388">
        <f t="shared" ca="1" si="48"/>
        <v>1.8486588199151299</v>
      </c>
      <c r="V388">
        <f t="shared" ca="1" si="51"/>
        <v>1.7955873583782067</v>
      </c>
      <c r="Y388">
        <f t="shared" si="52"/>
        <v>38.100000000000271</v>
      </c>
      <c r="Z388">
        <f t="shared" ca="1" si="53"/>
        <v>1.7955873583782067</v>
      </c>
    </row>
    <row r="389" spans="14:26" x14ac:dyDescent="0.25">
      <c r="N389">
        <f t="shared" si="50"/>
        <v>38.200000000000273</v>
      </c>
      <c r="P389">
        <f t="shared" ca="1" si="54"/>
        <v>37.896353756648203</v>
      </c>
      <c r="Q389">
        <f t="shared" ca="1" si="49"/>
        <v>38.218352182177703</v>
      </c>
      <c r="S389">
        <f t="shared" ca="1" si="47"/>
        <v>1.7042683512221299</v>
      </c>
      <c r="T389">
        <f t="shared" ca="1" si="48"/>
        <v>1.8486588199151299</v>
      </c>
      <c r="V389">
        <f t="shared" ca="1" si="51"/>
        <v>1.8404293381039036</v>
      </c>
      <c r="Y389">
        <f t="shared" si="52"/>
        <v>38.200000000000273</v>
      </c>
      <c r="Z389">
        <f t="shared" ca="1" si="53"/>
        <v>1.8404293381039036</v>
      </c>
    </row>
    <row r="390" spans="14:26" x14ac:dyDescent="0.25">
      <c r="N390">
        <f t="shared" si="50"/>
        <v>38.300000000000274</v>
      </c>
      <c r="P390">
        <f t="shared" ca="1" si="54"/>
        <v>38.218352182177703</v>
      </c>
      <c r="Q390">
        <f t="shared" ca="1" si="49"/>
        <v>38.5459188571648</v>
      </c>
      <c r="S390">
        <f t="shared" ca="1" si="47"/>
        <v>1.8486588199151299</v>
      </c>
      <c r="T390">
        <f t="shared" ca="1" si="48"/>
        <v>0.61212342312935397</v>
      </c>
      <c r="V390">
        <f t="shared" ca="1" si="51"/>
        <v>1.5404454865169679</v>
      </c>
      <c r="Y390">
        <f t="shared" si="52"/>
        <v>38.300000000000274</v>
      </c>
      <c r="Z390">
        <f t="shared" ca="1" si="53"/>
        <v>1.5404454865169679</v>
      </c>
    </row>
    <row r="391" spans="14:26" x14ac:dyDescent="0.25">
      <c r="N391">
        <f t="shared" si="50"/>
        <v>38.400000000000276</v>
      </c>
      <c r="P391">
        <f t="shared" ca="1" si="54"/>
        <v>38.218352182177703</v>
      </c>
      <c r="Q391">
        <f t="shared" ca="1" si="49"/>
        <v>38.5459188571648</v>
      </c>
      <c r="S391">
        <f t="shared" ca="1" si="47"/>
        <v>1.8486588199151299</v>
      </c>
      <c r="T391">
        <f t="shared" ca="1" si="48"/>
        <v>0.61212342312935397</v>
      </c>
      <c r="V391">
        <f t="shared" ca="1" si="51"/>
        <v>1.1629542790140976</v>
      </c>
      <c r="Y391">
        <f t="shared" si="52"/>
        <v>38.400000000000276</v>
      </c>
      <c r="Z391">
        <f t="shared" ca="1" si="53"/>
        <v>1.1629542790140976</v>
      </c>
    </row>
    <row r="392" spans="14:26" x14ac:dyDescent="0.25">
      <c r="N392">
        <f t="shared" si="50"/>
        <v>38.500000000000277</v>
      </c>
      <c r="P392">
        <f t="shared" ca="1" si="54"/>
        <v>38.218352182177703</v>
      </c>
      <c r="Q392">
        <f t="shared" ca="1" si="49"/>
        <v>38.5459188571648</v>
      </c>
      <c r="S392">
        <f t="shared" ref="S392:S455" ca="1" si="55">OFFSET($J$7,MATCH($N392,$I$7:$I$143,1)-1,0)</f>
        <v>1.8486588199151299</v>
      </c>
      <c r="T392">
        <f t="shared" ref="T392:T455" ca="1" si="56">OFFSET($J$7,MATCH($N392,$I$7:$I$143,1),0)</f>
        <v>0.61212342312935397</v>
      </c>
      <c r="V392">
        <f t="shared" ca="1" si="51"/>
        <v>0.78546307151122696</v>
      </c>
      <c r="Y392">
        <f t="shared" si="52"/>
        <v>38.500000000000277</v>
      </c>
      <c r="Z392">
        <f t="shared" ca="1" si="53"/>
        <v>0.78546307151122696</v>
      </c>
    </row>
    <row r="393" spans="14:26" x14ac:dyDescent="0.25">
      <c r="N393">
        <f t="shared" si="50"/>
        <v>38.600000000000279</v>
      </c>
      <c r="P393">
        <f t="shared" ca="1" si="54"/>
        <v>38.5459188571648</v>
      </c>
      <c r="Q393">
        <f t="shared" ca="1" si="49"/>
        <v>38.948176878324098</v>
      </c>
      <c r="S393">
        <f t="shared" ca="1" si="55"/>
        <v>0.61212342312935397</v>
      </c>
      <c r="T393">
        <f t="shared" ca="1" si="56"/>
        <v>0.85213417561106597</v>
      </c>
      <c r="V393">
        <f t="shared" ca="1" si="51"/>
        <v>0.64439140811472717</v>
      </c>
      <c r="Y393">
        <f t="shared" si="52"/>
        <v>38.600000000000279</v>
      </c>
      <c r="Z393">
        <f t="shared" ca="1" si="53"/>
        <v>0.64439140811472717</v>
      </c>
    </row>
    <row r="394" spans="14:26" x14ac:dyDescent="0.25">
      <c r="N394">
        <f t="shared" si="50"/>
        <v>38.70000000000028</v>
      </c>
      <c r="P394">
        <f t="shared" ca="1" si="54"/>
        <v>38.5459188571648</v>
      </c>
      <c r="Q394">
        <f t="shared" ca="1" si="49"/>
        <v>38.948176878324098</v>
      </c>
      <c r="S394">
        <f t="shared" ca="1" si="55"/>
        <v>0.61212342312935397</v>
      </c>
      <c r="T394">
        <f t="shared" ca="1" si="56"/>
        <v>0.85213417561106597</v>
      </c>
      <c r="V394">
        <f t="shared" ca="1" si="51"/>
        <v>0.704057279236454</v>
      </c>
      <c r="Y394">
        <f t="shared" si="52"/>
        <v>38.70000000000028</v>
      </c>
      <c r="Z394">
        <f t="shared" ca="1" si="53"/>
        <v>0.704057279236454</v>
      </c>
    </row>
    <row r="395" spans="14:26" x14ac:dyDescent="0.25">
      <c r="N395">
        <f t="shared" si="50"/>
        <v>38.800000000000281</v>
      </c>
      <c r="P395">
        <f t="shared" ca="1" si="54"/>
        <v>38.5459188571648</v>
      </c>
      <c r="Q395">
        <f t="shared" ref="Q395:Q458" ca="1" si="57">OFFSET($I$7,MATCH($N395,$I$7:$I$143,1),0)</f>
        <v>38.948176878324098</v>
      </c>
      <c r="S395">
        <f t="shared" ca="1" si="55"/>
        <v>0.61212342312935397</v>
      </c>
      <c r="T395">
        <f t="shared" ca="1" si="56"/>
        <v>0.85213417561106597</v>
      </c>
      <c r="V395">
        <f t="shared" ca="1" si="51"/>
        <v>0.76372315035818084</v>
      </c>
      <c r="Y395">
        <f t="shared" si="52"/>
        <v>38.800000000000281</v>
      </c>
      <c r="Z395">
        <f t="shared" ca="1" si="53"/>
        <v>0.76372315035818084</v>
      </c>
    </row>
    <row r="396" spans="14:26" x14ac:dyDescent="0.25">
      <c r="N396">
        <f t="shared" si="50"/>
        <v>38.900000000000283</v>
      </c>
      <c r="P396">
        <f t="shared" ca="1" si="54"/>
        <v>38.5459188571648</v>
      </c>
      <c r="Q396">
        <f t="shared" ca="1" si="57"/>
        <v>38.948176878324098</v>
      </c>
      <c r="S396">
        <f t="shared" ca="1" si="55"/>
        <v>0.61212342312935397</v>
      </c>
      <c r="T396">
        <f t="shared" ca="1" si="56"/>
        <v>0.85213417561106597</v>
      </c>
      <c r="V396">
        <f t="shared" ca="1" si="51"/>
        <v>0.82338902147990767</v>
      </c>
      <c r="Y396">
        <f t="shared" si="52"/>
        <v>38.900000000000283</v>
      </c>
      <c r="Z396">
        <f t="shared" ca="1" si="53"/>
        <v>0.82338902147990767</v>
      </c>
    </row>
    <row r="397" spans="14:26" x14ac:dyDescent="0.25">
      <c r="N397">
        <f t="shared" si="50"/>
        <v>39.000000000000284</v>
      </c>
      <c r="P397">
        <f t="shared" ca="1" si="54"/>
        <v>38.950672990149897</v>
      </c>
      <c r="Q397">
        <f t="shared" ca="1" si="57"/>
        <v>39.432230563929203</v>
      </c>
      <c r="S397">
        <f t="shared" ca="1" si="55"/>
        <v>0.233098442810238</v>
      </c>
      <c r="T397">
        <f t="shared" ca="1" si="56"/>
        <v>0.80682014554252302</v>
      </c>
      <c r="V397">
        <f t="shared" ca="1" si="51"/>
        <v>0.29186602870854628</v>
      </c>
      <c r="Y397">
        <f t="shared" si="52"/>
        <v>39.000000000000284</v>
      </c>
      <c r="Z397">
        <f t="shared" ca="1" si="53"/>
        <v>0.29186602870854628</v>
      </c>
    </row>
    <row r="398" spans="14:26" x14ac:dyDescent="0.25">
      <c r="N398">
        <f t="shared" si="50"/>
        <v>39.100000000000286</v>
      </c>
      <c r="P398">
        <f t="shared" ca="1" si="54"/>
        <v>38.950672990149897</v>
      </c>
      <c r="Q398">
        <f t="shared" ca="1" si="57"/>
        <v>39.432230563929203</v>
      </c>
      <c r="S398">
        <f t="shared" ca="1" si="55"/>
        <v>0.233098442810238</v>
      </c>
      <c r="T398">
        <f t="shared" ca="1" si="56"/>
        <v>0.80682014554252302</v>
      </c>
      <c r="V398">
        <f t="shared" ca="1" si="51"/>
        <v>0.41100478468940971</v>
      </c>
      <c r="Y398">
        <f t="shared" si="52"/>
        <v>39.100000000000286</v>
      </c>
      <c r="Z398">
        <f t="shared" ca="1" si="53"/>
        <v>0.41100478468940971</v>
      </c>
    </row>
    <row r="399" spans="14:26" x14ac:dyDescent="0.25">
      <c r="N399">
        <f t="shared" si="50"/>
        <v>39.200000000000287</v>
      </c>
      <c r="P399">
        <f t="shared" ca="1" si="54"/>
        <v>38.950672990149897</v>
      </c>
      <c r="Q399">
        <f t="shared" ca="1" si="57"/>
        <v>39.432230563929203</v>
      </c>
      <c r="S399">
        <f t="shared" ca="1" si="55"/>
        <v>0.233098442810238</v>
      </c>
      <c r="T399">
        <f t="shared" ca="1" si="56"/>
        <v>0.80682014554252302</v>
      </c>
      <c r="V399">
        <f t="shared" ca="1" si="51"/>
        <v>0.53014354067027325</v>
      </c>
      <c r="Y399">
        <f t="shared" si="52"/>
        <v>39.200000000000287</v>
      </c>
      <c r="Z399">
        <f t="shared" ca="1" si="53"/>
        <v>0.53014354067027325</v>
      </c>
    </row>
    <row r="400" spans="14:26" x14ac:dyDescent="0.25">
      <c r="N400">
        <f t="shared" si="50"/>
        <v>39.300000000000288</v>
      </c>
      <c r="P400">
        <f t="shared" ca="1" si="54"/>
        <v>38.950672990149897</v>
      </c>
      <c r="Q400">
        <f t="shared" ca="1" si="57"/>
        <v>39.432230563929203</v>
      </c>
      <c r="S400">
        <f t="shared" ca="1" si="55"/>
        <v>0.233098442810238</v>
      </c>
      <c r="T400">
        <f t="shared" ca="1" si="56"/>
        <v>0.80682014554252302</v>
      </c>
      <c r="V400">
        <f t="shared" ca="1" si="51"/>
        <v>0.64928229665113668</v>
      </c>
      <c r="Y400">
        <f t="shared" si="52"/>
        <v>39.300000000000288</v>
      </c>
      <c r="Z400">
        <f t="shared" ca="1" si="53"/>
        <v>0.64928229665113668</v>
      </c>
    </row>
    <row r="401" spans="14:26" x14ac:dyDescent="0.25">
      <c r="N401">
        <f t="shared" ref="N401:N464" si="58">IF(N400&lt;$I$2,N400+(1/N$2),"")</f>
        <v>39.40000000000029</v>
      </c>
      <c r="P401">
        <f t="shared" ca="1" si="54"/>
        <v>38.950672990149897</v>
      </c>
      <c r="Q401">
        <f t="shared" ca="1" si="57"/>
        <v>39.432230563929203</v>
      </c>
      <c r="S401">
        <f t="shared" ca="1" si="55"/>
        <v>0.233098442810238</v>
      </c>
      <c r="T401">
        <f t="shared" ca="1" si="56"/>
        <v>0.80682014554252302</v>
      </c>
      <c r="V401">
        <f t="shared" ref="V401:V464" ca="1" si="59">IFERROR(S401+(T401-S401)*((N401-P401)/(Q401-P401)),"")</f>
        <v>0.76842105263200011</v>
      </c>
      <c r="Y401">
        <f t="shared" ref="Y401:Y464" si="60">IF(ISNUMBER(N401),N401,NA())</f>
        <v>39.40000000000029</v>
      </c>
      <c r="Z401">
        <f t="shared" ref="Z401:Z464" ca="1" si="61">IF(ISNUMBER(V401),V401,NA())</f>
        <v>0.76842105263200011</v>
      </c>
    </row>
    <row r="402" spans="14:26" x14ac:dyDescent="0.25">
      <c r="N402">
        <f t="shared" si="58"/>
        <v>39.500000000000291</v>
      </c>
      <c r="P402">
        <f t="shared" ca="1" si="54"/>
        <v>39.434918684357001</v>
      </c>
      <c r="Q402">
        <f t="shared" ca="1" si="57"/>
        <v>40.079683569823899</v>
      </c>
      <c r="S402">
        <f t="shared" ca="1" si="55"/>
        <v>0.140166279449321</v>
      </c>
      <c r="T402">
        <f t="shared" ca="1" si="56"/>
        <v>0.238474683665828</v>
      </c>
      <c r="V402">
        <f t="shared" ca="1" si="59"/>
        <v>0.15008933889225207</v>
      </c>
      <c r="Y402">
        <f t="shared" si="60"/>
        <v>39.500000000000291</v>
      </c>
      <c r="Z402">
        <f t="shared" ca="1" si="61"/>
        <v>0.15008933889225207</v>
      </c>
    </row>
    <row r="403" spans="14:26" x14ac:dyDescent="0.25">
      <c r="N403">
        <f t="shared" si="58"/>
        <v>39.600000000000293</v>
      </c>
      <c r="P403">
        <f t="shared" ca="1" si="54"/>
        <v>39.434918684357001</v>
      </c>
      <c r="Q403">
        <f t="shared" ca="1" si="57"/>
        <v>40.079683569823899</v>
      </c>
      <c r="S403">
        <f t="shared" ca="1" si="55"/>
        <v>0.140166279449321</v>
      </c>
      <c r="T403">
        <f t="shared" ca="1" si="56"/>
        <v>0.238474683665828</v>
      </c>
      <c r="V403">
        <f t="shared" ca="1" si="59"/>
        <v>0.1653365098273317</v>
      </c>
      <c r="Y403">
        <f t="shared" si="60"/>
        <v>39.600000000000293</v>
      </c>
      <c r="Z403">
        <f t="shared" ca="1" si="61"/>
        <v>0.1653365098273317</v>
      </c>
    </row>
    <row r="404" spans="14:26" x14ac:dyDescent="0.25">
      <c r="N404">
        <f t="shared" si="58"/>
        <v>39.700000000000294</v>
      </c>
      <c r="P404">
        <f t="shared" ca="1" si="54"/>
        <v>39.434918684357001</v>
      </c>
      <c r="Q404">
        <f t="shared" ca="1" si="57"/>
        <v>40.079683569823899</v>
      </c>
      <c r="S404">
        <f t="shared" ca="1" si="55"/>
        <v>0.140166279449321</v>
      </c>
      <c r="T404">
        <f t="shared" ca="1" si="56"/>
        <v>0.238474683665828</v>
      </c>
      <c r="V404">
        <f t="shared" ca="1" si="59"/>
        <v>0.18058368076241132</v>
      </c>
      <c r="Y404">
        <f t="shared" si="60"/>
        <v>39.700000000000294</v>
      </c>
      <c r="Z404">
        <f t="shared" ca="1" si="61"/>
        <v>0.18058368076241132</v>
      </c>
    </row>
    <row r="405" spans="14:26" x14ac:dyDescent="0.25">
      <c r="N405">
        <f t="shared" si="58"/>
        <v>39.800000000000296</v>
      </c>
      <c r="P405">
        <f t="shared" ca="1" si="54"/>
        <v>39.434918684357001</v>
      </c>
      <c r="Q405">
        <f t="shared" ca="1" si="57"/>
        <v>40.079683569823899</v>
      </c>
      <c r="S405">
        <f t="shared" ca="1" si="55"/>
        <v>0.140166279449321</v>
      </c>
      <c r="T405">
        <f t="shared" ca="1" si="56"/>
        <v>0.238474683665828</v>
      </c>
      <c r="V405">
        <f t="shared" ca="1" si="59"/>
        <v>0.19583085169749095</v>
      </c>
      <c r="Y405">
        <f t="shared" si="60"/>
        <v>39.800000000000296</v>
      </c>
      <c r="Z405">
        <f t="shared" ca="1" si="61"/>
        <v>0.19583085169749095</v>
      </c>
    </row>
    <row r="406" spans="14:26" x14ac:dyDescent="0.25">
      <c r="N406">
        <f t="shared" si="58"/>
        <v>39.900000000000297</v>
      </c>
      <c r="P406">
        <f t="shared" ca="1" si="54"/>
        <v>39.434918684357001</v>
      </c>
      <c r="Q406">
        <f t="shared" ca="1" si="57"/>
        <v>40.079683569823899</v>
      </c>
      <c r="S406">
        <f t="shared" ca="1" si="55"/>
        <v>0.140166279449321</v>
      </c>
      <c r="T406">
        <f t="shared" ca="1" si="56"/>
        <v>0.238474683665828</v>
      </c>
      <c r="V406">
        <f t="shared" ca="1" si="59"/>
        <v>0.21107802263257058</v>
      </c>
      <c r="Y406">
        <f t="shared" si="60"/>
        <v>39.900000000000297</v>
      </c>
      <c r="Z406">
        <f t="shared" ca="1" si="61"/>
        <v>0.21107802263257058</v>
      </c>
    </row>
    <row r="407" spans="14:26" x14ac:dyDescent="0.25">
      <c r="N407">
        <f t="shared" si="58"/>
        <v>40.000000000000298</v>
      </c>
      <c r="P407">
        <f t="shared" ca="1" si="54"/>
        <v>39.434918684357001</v>
      </c>
      <c r="Q407">
        <f t="shared" ca="1" si="57"/>
        <v>40.079683569823899</v>
      </c>
      <c r="S407">
        <f t="shared" ca="1" si="55"/>
        <v>0.140166279449321</v>
      </c>
      <c r="T407">
        <f t="shared" ca="1" si="56"/>
        <v>0.238474683665828</v>
      </c>
      <c r="V407">
        <f t="shared" ca="1" si="59"/>
        <v>0.22632519356765021</v>
      </c>
      <c r="Y407">
        <f t="shared" si="60"/>
        <v>40.000000000000298</v>
      </c>
      <c r="Z407">
        <f t="shared" ca="1" si="61"/>
        <v>0.22632519356765021</v>
      </c>
    </row>
    <row r="408" spans="14:26" x14ac:dyDescent="0.25">
      <c r="N408">
        <f t="shared" si="58"/>
        <v>40.1000000000003</v>
      </c>
      <c r="P408">
        <f t="shared" ca="1" si="54"/>
        <v>40.079683569823899</v>
      </c>
      <c r="Q408">
        <f t="shared" ca="1" si="57"/>
        <v>40.562201186613102</v>
      </c>
      <c r="S408">
        <f t="shared" ca="1" si="55"/>
        <v>0.238474683665828</v>
      </c>
      <c r="T408">
        <f t="shared" ca="1" si="56"/>
        <v>0.57410571993624804</v>
      </c>
      <c r="V408">
        <f t="shared" ca="1" si="59"/>
        <v>0.2526064464785418</v>
      </c>
      <c r="Y408">
        <f t="shared" si="60"/>
        <v>40.1000000000003</v>
      </c>
      <c r="Z408">
        <f t="shared" ca="1" si="61"/>
        <v>0.2526064464785418</v>
      </c>
    </row>
    <row r="409" spans="14:26" x14ac:dyDescent="0.25">
      <c r="N409">
        <f t="shared" si="58"/>
        <v>40.200000000000301</v>
      </c>
      <c r="P409">
        <f t="shared" ca="1" si="54"/>
        <v>40.079683569823899</v>
      </c>
      <c r="Q409">
        <f t="shared" ca="1" si="57"/>
        <v>40.562201186613102</v>
      </c>
      <c r="S409">
        <f t="shared" ca="1" si="55"/>
        <v>0.238474683665828</v>
      </c>
      <c r="T409">
        <f t="shared" ca="1" si="56"/>
        <v>0.57410571993624804</v>
      </c>
      <c r="V409">
        <f t="shared" ca="1" si="59"/>
        <v>0.32216474333489303</v>
      </c>
      <c r="Y409">
        <f t="shared" si="60"/>
        <v>40.200000000000301</v>
      </c>
      <c r="Z409">
        <f t="shared" ca="1" si="61"/>
        <v>0.32216474333489303</v>
      </c>
    </row>
    <row r="410" spans="14:26" x14ac:dyDescent="0.25">
      <c r="N410">
        <f t="shared" si="58"/>
        <v>40.300000000000303</v>
      </c>
      <c r="P410">
        <f t="shared" ca="1" si="54"/>
        <v>40.079683569823899</v>
      </c>
      <c r="Q410">
        <f t="shared" ca="1" si="57"/>
        <v>40.562201186613102</v>
      </c>
      <c r="S410">
        <f t="shared" ca="1" si="55"/>
        <v>0.238474683665828</v>
      </c>
      <c r="T410">
        <f t="shared" ca="1" si="56"/>
        <v>0.57410571993624804</v>
      </c>
      <c r="V410">
        <f t="shared" ca="1" si="59"/>
        <v>0.39172304019124426</v>
      </c>
      <c r="Y410">
        <f t="shared" si="60"/>
        <v>40.300000000000303</v>
      </c>
      <c r="Z410">
        <f t="shared" ca="1" si="61"/>
        <v>0.39172304019124426</v>
      </c>
    </row>
    <row r="411" spans="14:26" x14ac:dyDescent="0.25">
      <c r="N411">
        <f t="shared" si="58"/>
        <v>40.400000000000304</v>
      </c>
      <c r="P411">
        <f t="shared" ca="1" si="54"/>
        <v>40.079683569823899</v>
      </c>
      <c r="Q411">
        <f t="shared" ca="1" si="57"/>
        <v>40.562201186613102</v>
      </c>
      <c r="S411">
        <f t="shared" ca="1" si="55"/>
        <v>0.238474683665828</v>
      </c>
      <c r="T411">
        <f t="shared" ca="1" si="56"/>
        <v>0.57410571993624804</v>
      </c>
      <c r="V411">
        <f t="shared" ca="1" si="59"/>
        <v>0.46128133704759555</v>
      </c>
      <c r="Y411">
        <f t="shared" si="60"/>
        <v>40.400000000000304</v>
      </c>
      <c r="Z411">
        <f t="shared" ca="1" si="61"/>
        <v>0.46128133704759555</v>
      </c>
    </row>
    <row r="412" spans="14:26" x14ac:dyDescent="0.25">
      <c r="N412">
        <f t="shared" si="58"/>
        <v>40.500000000000306</v>
      </c>
      <c r="P412">
        <f t="shared" ca="1" si="54"/>
        <v>40.079683569823899</v>
      </c>
      <c r="Q412">
        <f t="shared" ca="1" si="57"/>
        <v>40.562201186613102</v>
      </c>
      <c r="S412">
        <f t="shared" ca="1" si="55"/>
        <v>0.238474683665828</v>
      </c>
      <c r="T412">
        <f t="shared" ca="1" si="56"/>
        <v>0.57410571993624804</v>
      </c>
      <c r="V412">
        <f t="shared" ca="1" si="59"/>
        <v>0.53083963390394684</v>
      </c>
      <c r="Y412">
        <f t="shared" si="60"/>
        <v>40.500000000000306</v>
      </c>
      <c r="Z412">
        <f t="shared" ca="1" si="61"/>
        <v>0.53083963390394684</v>
      </c>
    </row>
    <row r="413" spans="14:26" x14ac:dyDescent="0.25">
      <c r="N413">
        <f t="shared" si="58"/>
        <v>40.600000000000307</v>
      </c>
      <c r="P413">
        <f t="shared" ca="1" si="54"/>
        <v>40.562201186613102</v>
      </c>
      <c r="Q413">
        <f t="shared" ca="1" si="57"/>
        <v>41.367677271941702</v>
      </c>
      <c r="S413">
        <f t="shared" ca="1" si="55"/>
        <v>0.57410571993624804</v>
      </c>
      <c r="T413">
        <f t="shared" ca="1" si="56"/>
        <v>0.81603655843781897</v>
      </c>
      <c r="V413">
        <f t="shared" ca="1" si="59"/>
        <v>0.5854588796186988</v>
      </c>
      <c r="Y413">
        <f t="shared" si="60"/>
        <v>40.600000000000307</v>
      </c>
      <c r="Z413">
        <f t="shared" ca="1" si="61"/>
        <v>0.5854588796186988</v>
      </c>
    </row>
    <row r="414" spans="14:26" x14ac:dyDescent="0.25">
      <c r="N414">
        <f t="shared" si="58"/>
        <v>40.700000000000308</v>
      </c>
      <c r="P414">
        <f t="shared" ref="P414:P477" ca="1" si="62">OFFSET($I$7,MATCH($N414,$I$7:$I$143,1)-1,0)</f>
        <v>40.562201186613102</v>
      </c>
      <c r="Q414">
        <f t="shared" ca="1" si="57"/>
        <v>41.367677271941702</v>
      </c>
      <c r="S414">
        <f t="shared" ca="1" si="55"/>
        <v>0.57410571993624804</v>
      </c>
      <c r="T414">
        <f t="shared" ca="1" si="56"/>
        <v>0.81603655843781897</v>
      </c>
      <c r="V414">
        <f t="shared" ca="1" si="59"/>
        <v>0.61549463647209779</v>
      </c>
      <c r="Y414">
        <f t="shared" si="60"/>
        <v>40.700000000000308</v>
      </c>
      <c r="Z414">
        <f t="shared" ca="1" si="61"/>
        <v>0.61549463647209779</v>
      </c>
    </row>
    <row r="415" spans="14:26" x14ac:dyDescent="0.25">
      <c r="N415">
        <f t="shared" si="58"/>
        <v>40.80000000000031</v>
      </c>
      <c r="P415">
        <f t="shared" ca="1" si="62"/>
        <v>40.562201186613102</v>
      </c>
      <c r="Q415">
        <f t="shared" ca="1" si="57"/>
        <v>41.367677271941702</v>
      </c>
      <c r="S415">
        <f t="shared" ca="1" si="55"/>
        <v>0.57410571993624804</v>
      </c>
      <c r="T415">
        <f t="shared" ca="1" si="56"/>
        <v>0.81603655843781897</v>
      </c>
      <c r="V415">
        <f t="shared" ca="1" si="59"/>
        <v>0.64553039332549667</v>
      </c>
      <c r="Y415">
        <f t="shared" si="60"/>
        <v>40.80000000000031</v>
      </c>
      <c r="Z415">
        <f t="shared" ca="1" si="61"/>
        <v>0.64553039332549667</v>
      </c>
    </row>
    <row r="416" spans="14:26" x14ac:dyDescent="0.25">
      <c r="N416">
        <f t="shared" si="58"/>
        <v>40.900000000000311</v>
      </c>
      <c r="P416">
        <f t="shared" ca="1" si="62"/>
        <v>40.562201186613102</v>
      </c>
      <c r="Q416">
        <f t="shared" ca="1" si="57"/>
        <v>41.367677271941702</v>
      </c>
      <c r="S416">
        <f t="shared" ca="1" si="55"/>
        <v>0.57410571993624804</v>
      </c>
      <c r="T416">
        <f t="shared" ca="1" si="56"/>
        <v>0.81603655843781897</v>
      </c>
      <c r="V416">
        <f t="shared" ca="1" si="59"/>
        <v>0.67556615017889565</v>
      </c>
      <c r="Y416">
        <f t="shared" si="60"/>
        <v>40.900000000000311</v>
      </c>
      <c r="Z416">
        <f t="shared" ca="1" si="61"/>
        <v>0.67556615017889565</v>
      </c>
    </row>
    <row r="417" spans="14:26" x14ac:dyDescent="0.25">
      <c r="N417">
        <f t="shared" si="58"/>
        <v>41.000000000000313</v>
      </c>
      <c r="P417">
        <f t="shared" ca="1" si="62"/>
        <v>40.562201186613102</v>
      </c>
      <c r="Q417">
        <f t="shared" ca="1" si="57"/>
        <v>41.367677271941702</v>
      </c>
      <c r="S417">
        <f t="shared" ca="1" si="55"/>
        <v>0.57410571993624804</v>
      </c>
      <c r="T417">
        <f t="shared" ca="1" si="56"/>
        <v>0.81603655843781897</v>
      </c>
      <c r="V417">
        <f t="shared" ca="1" si="59"/>
        <v>0.70560190703229453</v>
      </c>
      <c r="Y417">
        <f t="shared" si="60"/>
        <v>41.000000000000313</v>
      </c>
      <c r="Z417">
        <f t="shared" ca="1" si="61"/>
        <v>0.70560190703229453</v>
      </c>
    </row>
    <row r="418" spans="14:26" x14ac:dyDescent="0.25">
      <c r="N418">
        <f t="shared" si="58"/>
        <v>41.100000000000314</v>
      </c>
      <c r="P418">
        <f t="shared" ca="1" si="62"/>
        <v>40.562201186613102</v>
      </c>
      <c r="Q418">
        <f t="shared" ca="1" si="57"/>
        <v>41.367677271941702</v>
      </c>
      <c r="S418">
        <f t="shared" ca="1" si="55"/>
        <v>0.57410571993624804</v>
      </c>
      <c r="T418">
        <f t="shared" ca="1" si="56"/>
        <v>0.81603655843781897</v>
      </c>
      <c r="V418">
        <f t="shared" ca="1" si="59"/>
        <v>0.73563766388569352</v>
      </c>
      <c r="Y418">
        <f t="shared" si="60"/>
        <v>41.100000000000314</v>
      </c>
      <c r="Z418">
        <f t="shared" ca="1" si="61"/>
        <v>0.73563766388569352</v>
      </c>
    </row>
    <row r="419" spans="14:26" x14ac:dyDescent="0.25">
      <c r="N419">
        <f t="shared" si="58"/>
        <v>41.200000000000315</v>
      </c>
      <c r="P419">
        <f t="shared" ca="1" si="62"/>
        <v>40.562201186613102</v>
      </c>
      <c r="Q419">
        <f t="shared" ca="1" si="57"/>
        <v>41.367677271941702</v>
      </c>
      <c r="S419">
        <f t="shared" ca="1" si="55"/>
        <v>0.57410571993624804</v>
      </c>
      <c r="T419">
        <f t="shared" ca="1" si="56"/>
        <v>0.81603655843781897</v>
      </c>
      <c r="V419">
        <f t="shared" ca="1" si="59"/>
        <v>0.76567342073909239</v>
      </c>
      <c r="Y419">
        <f t="shared" si="60"/>
        <v>41.200000000000315</v>
      </c>
      <c r="Z419">
        <f t="shared" ca="1" si="61"/>
        <v>0.76567342073909239</v>
      </c>
    </row>
    <row r="420" spans="14:26" x14ac:dyDescent="0.25">
      <c r="N420">
        <f t="shared" si="58"/>
        <v>41.300000000000317</v>
      </c>
      <c r="P420">
        <f t="shared" ca="1" si="62"/>
        <v>40.562201186613102</v>
      </c>
      <c r="Q420">
        <f t="shared" ca="1" si="57"/>
        <v>41.367677271941702</v>
      </c>
      <c r="S420">
        <f t="shared" ca="1" si="55"/>
        <v>0.57410571993624804</v>
      </c>
      <c r="T420">
        <f t="shared" ca="1" si="56"/>
        <v>0.81603655843781897</v>
      </c>
      <c r="V420">
        <f t="shared" ca="1" si="59"/>
        <v>0.79570917759249138</v>
      </c>
      <c r="Y420">
        <f t="shared" si="60"/>
        <v>41.300000000000317</v>
      </c>
      <c r="Z420">
        <f t="shared" ca="1" si="61"/>
        <v>0.79570917759249138</v>
      </c>
    </row>
    <row r="421" spans="14:26" x14ac:dyDescent="0.25">
      <c r="N421">
        <f t="shared" si="58"/>
        <v>41.400000000000318</v>
      </c>
      <c r="P421">
        <f t="shared" ca="1" si="62"/>
        <v>41.369981375165601</v>
      </c>
      <c r="Q421">
        <f t="shared" ca="1" si="57"/>
        <v>41.608072041627402</v>
      </c>
      <c r="S421">
        <f t="shared" ca="1" si="55"/>
        <v>0.244618958929358</v>
      </c>
      <c r="T421">
        <f t="shared" ca="1" si="56"/>
        <v>1.1981336763887001</v>
      </c>
      <c r="V421">
        <f t="shared" ca="1" si="59"/>
        <v>0.36483870967874665</v>
      </c>
      <c r="Y421">
        <f t="shared" si="60"/>
        <v>41.400000000000318</v>
      </c>
      <c r="Z421">
        <f t="shared" ca="1" si="61"/>
        <v>0.36483870967874665</v>
      </c>
    </row>
    <row r="422" spans="14:26" x14ac:dyDescent="0.25">
      <c r="N422">
        <f t="shared" si="58"/>
        <v>41.50000000000032</v>
      </c>
      <c r="P422">
        <f t="shared" ca="1" si="62"/>
        <v>41.369981375165601</v>
      </c>
      <c r="Q422">
        <f t="shared" ca="1" si="57"/>
        <v>41.608072041627402</v>
      </c>
      <c r="S422">
        <f t="shared" ca="1" si="55"/>
        <v>0.244618958929358</v>
      </c>
      <c r="T422">
        <f t="shared" ca="1" si="56"/>
        <v>1.1981336763887001</v>
      </c>
      <c r="V422">
        <f t="shared" ca="1" si="59"/>
        <v>0.76532258064658931</v>
      </c>
      <c r="Y422">
        <f t="shared" si="60"/>
        <v>41.50000000000032</v>
      </c>
      <c r="Z422">
        <f t="shared" ca="1" si="61"/>
        <v>0.76532258064658931</v>
      </c>
    </row>
    <row r="423" spans="14:26" x14ac:dyDescent="0.25">
      <c r="N423">
        <f t="shared" si="58"/>
        <v>41.600000000000321</v>
      </c>
      <c r="P423">
        <f t="shared" ca="1" si="62"/>
        <v>41.369981375165601</v>
      </c>
      <c r="Q423">
        <f t="shared" ca="1" si="57"/>
        <v>41.608072041627402</v>
      </c>
      <c r="S423">
        <f t="shared" ca="1" si="55"/>
        <v>0.244618958929358</v>
      </c>
      <c r="T423">
        <f t="shared" ca="1" si="56"/>
        <v>1.1981336763887001</v>
      </c>
      <c r="V423">
        <f t="shared" ca="1" si="59"/>
        <v>1.1658064516144317</v>
      </c>
      <c r="Y423">
        <f t="shared" si="60"/>
        <v>41.600000000000321</v>
      </c>
      <c r="Z423">
        <f t="shared" ca="1" si="61"/>
        <v>1.1658064516144317</v>
      </c>
    </row>
    <row r="424" spans="14:26" x14ac:dyDescent="0.25">
      <c r="N424">
        <f t="shared" si="58"/>
        <v>41.700000000000323</v>
      </c>
      <c r="P424">
        <f t="shared" ca="1" si="62"/>
        <v>41.608072041627402</v>
      </c>
      <c r="Q424">
        <f t="shared" ca="1" si="57"/>
        <v>42.257061116338001</v>
      </c>
      <c r="S424">
        <f t="shared" ca="1" si="55"/>
        <v>1.1981336763887001</v>
      </c>
      <c r="T424">
        <f t="shared" ca="1" si="56"/>
        <v>0.24884314817303699</v>
      </c>
      <c r="V424">
        <f t="shared" ca="1" si="59"/>
        <v>1.063668639052699</v>
      </c>
      <c r="Y424">
        <f t="shared" si="60"/>
        <v>41.700000000000323</v>
      </c>
      <c r="Z424">
        <f t="shared" ca="1" si="61"/>
        <v>1.063668639052699</v>
      </c>
    </row>
    <row r="425" spans="14:26" x14ac:dyDescent="0.25">
      <c r="N425">
        <f t="shared" si="58"/>
        <v>41.800000000000324</v>
      </c>
      <c r="P425">
        <f t="shared" ca="1" si="62"/>
        <v>41.608072041627402</v>
      </c>
      <c r="Q425">
        <f t="shared" ca="1" si="57"/>
        <v>42.257061116338001</v>
      </c>
      <c r="S425">
        <f t="shared" ca="1" si="55"/>
        <v>1.1981336763887001</v>
      </c>
      <c r="T425">
        <f t="shared" ca="1" si="56"/>
        <v>0.24884314817303699</v>
      </c>
      <c r="V425">
        <f t="shared" ca="1" si="59"/>
        <v>0.91739644970359646</v>
      </c>
      <c r="Y425">
        <f t="shared" si="60"/>
        <v>41.800000000000324</v>
      </c>
      <c r="Z425">
        <f t="shared" ca="1" si="61"/>
        <v>0.91739644970359646</v>
      </c>
    </row>
    <row r="426" spans="14:26" x14ac:dyDescent="0.25">
      <c r="N426">
        <f t="shared" si="58"/>
        <v>41.900000000000325</v>
      </c>
      <c r="P426">
        <f t="shared" ca="1" si="62"/>
        <v>41.608072041627402</v>
      </c>
      <c r="Q426">
        <f t="shared" ca="1" si="57"/>
        <v>42.257061116338001</v>
      </c>
      <c r="S426">
        <f t="shared" ca="1" si="55"/>
        <v>1.1981336763887001</v>
      </c>
      <c r="T426">
        <f t="shared" ca="1" si="56"/>
        <v>0.24884314817303699</v>
      </c>
      <c r="V426">
        <f t="shared" ca="1" si="59"/>
        <v>0.77112426035449388</v>
      </c>
      <c r="Y426">
        <f t="shared" si="60"/>
        <v>41.900000000000325</v>
      </c>
      <c r="Z426">
        <f t="shared" ca="1" si="61"/>
        <v>0.77112426035449388</v>
      </c>
    </row>
    <row r="427" spans="14:26" x14ac:dyDescent="0.25">
      <c r="N427">
        <f t="shared" si="58"/>
        <v>42.000000000000327</v>
      </c>
      <c r="P427">
        <f t="shared" ca="1" si="62"/>
        <v>41.608072041627402</v>
      </c>
      <c r="Q427">
        <f t="shared" ca="1" si="57"/>
        <v>42.257061116338001</v>
      </c>
      <c r="S427">
        <f t="shared" ca="1" si="55"/>
        <v>1.1981336763887001</v>
      </c>
      <c r="T427">
        <f t="shared" ca="1" si="56"/>
        <v>0.24884314817303699</v>
      </c>
      <c r="V427">
        <f t="shared" ca="1" si="59"/>
        <v>0.62485207100539109</v>
      </c>
      <c r="Y427">
        <f t="shared" si="60"/>
        <v>42.000000000000327</v>
      </c>
      <c r="Z427">
        <f t="shared" ca="1" si="61"/>
        <v>0.62485207100539109</v>
      </c>
    </row>
    <row r="428" spans="14:26" x14ac:dyDescent="0.25">
      <c r="N428">
        <f t="shared" si="58"/>
        <v>42.100000000000328</v>
      </c>
      <c r="P428">
        <f t="shared" ca="1" si="62"/>
        <v>41.608072041627402</v>
      </c>
      <c r="Q428">
        <f t="shared" ca="1" si="57"/>
        <v>42.257061116338001</v>
      </c>
      <c r="S428">
        <f t="shared" ca="1" si="55"/>
        <v>1.1981336763887001</v>
      </c>
      <c r="T428">
        <f t="shared" ca="1" si="56"/>
        <v>0.24884314817303699</v>
      </c>
      <c r="V428">
        <f t="shared" ca="1" si="59"/>
        <v>0.4785798816562884</v>
      </c>
      <c r="Y428">
        <f t="shared" si="60"/>
        <v>42.100000000000328</v>
      </c>
      <c r="Z428">
        <f t="shared" ca="1" si="61"/>
        <v>0.4785798816562884</v>
      </c>
    </row>
    <row r="429" spans="14:26" x14ac:dyDescent="0.25">
      <c r="N429">
        <f t="shared" si="58"/>
        <v>42.20000000000033</v>
      </c>
      <c r="P429">
        <f t="shared" ca="1" si="62"/>
        <v>41.608072041627402</v>
      </c>
      <c r="Q429">
        <f t="shared" ca="1" si="57"/>
        <v>42.257061116338001</v>
      </c>
      <c r="S429">
        <f t="shared" ca="1" si="55"/>
        <v>1.1981336763887001</v>
      </c>
      <c r="T429">
        <f t="shared" ca="1" si="56"/>
        <v>0.24884314817303699</v>
      </c>
      <c r="V429">
        <f t="shared" ca="1" si="59"/>
        <v>0.33230769230718582</v>
      </c>
      <c r="Y429">
        <f t="shared" si="60"/>
        <v>42.20000000000033</v>
      </c>
      <c r="Z429">
        <f t="shared" ca="1" si="61"/>
        <v>0.33230769230718582</v>
      </c>
    </row>
    <row r="430" spans="14:26" x14ac:dyDescent="0.25">
      <c r="N430">
        <f t="shared" si="58"/>
        <v>42.300000000000331</v>
      </c>
      <c r="P430">
        <f t="shared" ca="1" si="62"/>
        <v>42.257061116338001</v>
      </c>
      <c r="Q430">
        <f t="shared" ca="1" si="57"/>
        <v>0</v>
      </c>
      <c r="S430">
        <f t="shared" ca="1" si="55"/>
        <v>0.24884314817303699</v>
      </c>
      <c r="T430">
        <f t="shared" ca="1" si="56"/>
        <v>0</v>
      </c>
      <c r="V430">
        <f t="shared" ca="1" si="59"/>
        <v>0.24909600643405408</v>
      </c>
      <c r="Y430">
        <f t="shared" si="60"/>
        <v>42.300000000000331</v>
      </c>
      <c r="Z430">
        <f t="shared" ca="1" si="61"/>
        <v>0.24909600643405408</v>
      </c>
    </row>
    <row r="431" spans="14:26" x14ac:dyDescent="0.25">
      <c r="N431" t="str">
        <f t="shared" si="58"/>
        <v/>
      </c>
      <c r="P431" t="e">
        <f t="shared" ca="1" si="62"/>
        <v>#N/A</v>
      </c>
      <c r="Q431" t="e">
        <f t="shared" ca="1" si="57"/>
        <v>#N/A</v>
      </c>
      <c r="S431" t="e">
        <f t="shared" ca="1" si="55"/>
        <v>#N/A</v>
      </c>
      <c r="T431" t="e">
        <f t="shared" ca="1" si="56"/>
        <v>#N/A</v>
      </c>
      <c r="V431" t="str">
        <f t="shared" ca="1" si="59"/>
        <v/>
      </c>
      <c r="Y431" t="e">
        <f t="shared" si="60"/>
        <v>#N/A</v>
      </c>
      <c r="Z431" t="e">
        <f t="shared" ca="1" si="61"/>
        <v>#N/A</v>
      </c>
    </row>
    <row r="432" spans="14:26" x14ac:dyDescent="0.25">
      <c r="N432" t="str">
        <f t="shared" si="58"/>
        <v/>
      </c>
      <c r="P432" t="e">
        <f t="shared" ca="1" si="62"/>
        <v>#N/A</v>
      </c>
      <c r="Q432" t="e">
        <f t="shared" ca="1" si="57"/>
        <v>#N/A</v>
      </c>
      <c r="S432" t="e">
        <f t="shared" ca="1" si="55"/>
        <v>#N/A</v>
      </c>
      <c r="T432" t="e">
        <f t="shared" ca="1" si="56"/>
        <v>#N/A</v>
      </c>
      <c r="V432" t="str">
        <f t="shared" ca="1" si="59"/>
        <v/>
      </c>
      <c r="Y432" t="e">
        <f t="shared" si="60"/>
        <v>#N/A</v>
      </c>
      <c r="Z432" t="e">
        <f t="shared" ca="1" si="61"/>
        <v>#N/A</v>
      </c>
    </row>
    <row r="433" spans="14:26" x14ac:dyDescent="0.25">
      <c r="N433" t="str">
        <f t="shared" si="58"/>
        <v/>
      </c>
      <c r="P433" t="e">
        <f t="shared" ca="1" si="62"/>
        <v>#N/A</v>
      </c>
      <c r="Q433" t="e">
        <f t="shared" ca="1" si="57"/>
        <v>#N/A</v>
      </c>
      <c r="S433" t="e">
        <f t="shared" ca="1" si="55"/>
        <v>#N/A</v>
      </c>
      <c r="T433" t="e">
        <f t="shared" ca="1" si="56"/>
        <v>#N/A</v>
      </c>
      <c r="V433" t="str">
        <f t="shared" ca="1" si="59"/>
        <v/>
      </c>
      <c r="Y433" t="e">
        <f t="shared" si="60"/>
        <v>#N/A</v>
      </c>
      <c r="Z433" t="e">
        <f t="shared" ca="1" si="61"/>
        <v>#N/A</v>
      </c>
    </row>
    <row r="434" spans="14:26" x14ac:dyDescent="0.25">
      <c r="N434" t="str">
        <f t="shared" si="58"/>
        <v/>
      </c>
      <c r="P434" t="e">
        <f t="shared" ca="1" si="62"/>
        <v>#N/A</v>
      </c>
      <c r="Q434" t="e">
        <f t="shared" ca="1" si="57"/>
        <v>#N/A</v>
      </c>
      <c r="S434" t="e">
        <f t="shared" ca="1" si="55"/>
        <v>#N/A</v>
      </c>
      <c r="T434" t="e">
        <f t="shared" ca="1" si="56"/>
        <v>#N/A</v>
      </c>
      <c r="V434" t="str">
        <f t="shared" ca="1" si="59"/>
        <v/>
      </c>
      <c r="Y434" t="e">
        <f t="shared" si="60"/>
        <v>#N/A</v>
      </c>
      <c r="Z434" t="e">
        <f t="shared" ca="1" si="61"/>
        <v>#N/A</v>
      </c>
    </row>
    <row r="435" spans="14:26" x14ac:dyDescent="0.25">
      <c r="N435" t="str">
        <f t="shared" si="58"/>
        <v/>
      </c>
      <c r="P435" t="e">
        <f t="shared" ca="1" si="62"/>
        <v>#N/A</v>
      </c>
      <c r="Q435" t="e">
        <f t="shared" ca="1" si="57"/>
        <v>#N/A</v>
      </c>
      <c r="S435" t="e">
        <f t="shared" ca="1" si="55"/>
        <v>#N/A</v>
      </c>
      <c r="T435" t="e">
        <f t="shared" ca="1" si="56"/>
        <v>#N/A</v>
      </c>
      <c r="V435" t="str">
        <f t="shared" ca="1" si="59"/>
        <v/>
      </c>
      <c r="Y435" t="e">
        <f t="shared" si="60"/>
        <v>#N/A</v>
      </c>
      <c r="Z435" t="e">
        <f t="shared" ca="1" si="61"/>
        <v>#N/A</v>
      </c>
    </row>
    <row r="436" spans="14:26" x14ac:dyDescent="0.25">
      <c r="N436" t="str">
        <f t="shared" si="58"/>
        <v/>
      </c>
      <c r="P436" t="e">
        <f t="shared" ca="1" si="62"/>
        <v>#N/A</v>
      </c>
      <c r="Q436" t="e">
        <f t="shared" ca="1" si="57"/>
        <v>#N/A</v>
      </c>
      <c r="S436" t="e">
        <f t="shared" ca="1" si="55"/>
        <v>#N/A</v>
      </c>
      <c r="T436" t="e">
        <f t="shared" ca="1" si="56"/>
        <v>#N/A</v>
      </c>
      <c r="V436" t="str">
        <f t="shared" ca="1" si="59"/>
        <v/>
      </c>
      <c r="Y436" t="e">
        <f t="shared" si="60"/>
        <v>#N/A</v>
      </c>
      <c r="Z436" t="e">
        <f t="shared" ca="1" si="61"/>
        <v>#N/A</v>
      </c>
    </row>
    <row r="437" spans="14:26" x14ac:dyDescent="0.25">
      <c r="N437" t="str">
        <f t="shared" si="58"/>
        <v/>
      </c>
      <c r="P437" t="e">
        <f t="shared" ca="1" si="62"/>
        <v>#N/A</v>
      </c>
      <c r="Q437" t="e">
        <f t="shared" ca="1" si="57"/>
        <v>#N/A</v>
      </c>
      <c r="S437" t="e">
        <f t="shared" ca="1" si="55"/>
        <v>#N/A</v>
      </c>
      <c r="T437" t="e">
        <f t="shared" ca="1" si="56"/>
        <v>#N/A</v>
      </c>
      <c r="V437" t="str">
        <f t="shared" ca="1" si="59"/>
        <v/>
      </c>
      <c r="Y437" t="e">
        <f t="shared" si="60"/>
        <v>#N/A</v>
      </c>
      <c r="Z437" t="e">
        <f t="shared" ca="1" si="61"/>
        <v>#N/A</v>
      </c>
    </row>
    <row r="438" spans="14:26" x14ac:dyDescent="0.25">
      <c r="N438" t="str">
        <f t="shared" si="58"/>
        <v/>
      </c>
      <c r="P438" t="e">
        <f t="shared" ca="1" si="62"/>
        <v>#N/A</v>
      </c>
      <c r="Q438" t="e">
        <f t="shared" ca="1" si="57"/>
        <v>#N/A</v>
      </c>
      <c r="S438" t="e">
        <f t="shared" ca="1" si="55"/>
        <v>#N/A</v>
      </c>
      <c r="T438" t="e">
        <f t="shared" ca="1" si="56"/>
        <v>#N/A</v>
      </c>
      <c r="V438" t="str">
        <f t="shared" ca="1" si="59"/>
        <v/>
      </c>
      <c r="Y438" t="e">
        <f t="shared" si="60"/>
        <v>#N/A</v>
      </c>
      <c r="Z438" t="e">
        <f t="shared" ca="1" si="61"/>
        <v>#N/A</v>
      </c>
    </row>
    <row r="439" spans="14:26" x14ac:dyDescent="0.25">
      <c r="N439" t="str">
        <f t="shared" si="58"/>
        <v/>
      </c>
      <c r="P439" t="e">
        <f t="shared" ca="1" si="62"/>
        <v>#N/A</v>
      </c>
      <c r="Q439" t="e">
        <f t="shared" ca="1" si="57"/>
        <v>#N/A</v>
      </c>
      <c r="S439" t="e">
        <f t="shared" ca="1" si="55"/>
        <v>#N/A</v>
      </c>
      <c r="T439" t="e">
        <f t="shared" ca="1" si="56"/>
        <v>#N/A</v>
      </c>
      <c r="V439" t="str">
        <f t="shared" ca="1" si="59"/>
        <v/>
      </c>
      <c r="Y439" t="e">
        <f t="shared" si="60"/>
        <v>#N/A</v>
      </c>
      <c r="Z439" t="e">
        <f t="shared" ca="1" si="61"/>
        <v>#N/A</v>
      </c>
    </row>
    <row r="440" spans="14:26" x14ac:dyDescent="0.25">
      <c r="N440" t="str">
        <f t="shared" si="58"/>
        <v/>
      </c>
      <c r="P440" t="e">
        <f t="shared" ca="1" si="62"/>
        <v>#N/A</v>
      </c>
      <c r="Q440" t="e">
        <f t="shared" ca="1" si="57"/>
        <v>#N/A</v>
      </c>
      <c r="S440" t="e">
        <f t="shared" ca="1" si="55"/>
        <v>#N/A</v>
      </c>
      <c r="T440" t="e">
        <f t="shared" ca="1" si="56"/>
        <v>#N/A</v>
      </c>
      <c r="V440" t="str">
        <f t="shared" ca="1" si="59"/>
        <v/>
      </c>
      <c r="Y440" t="e">
        <f t="shared" si="60"/>
        <v>#N/A</v>
      </c>
      <c r="Z440" t="e">
        <f t="shared" ca="1" si="61"/>
        <v>#N/A</v>
      </c>
    </row>
    <row r="441" spans="14:26" x14ac:dyDescent="0.25">
      <c r="N441" t="str">
        <f t="shared" si="58"/>
        <v/>
      </c>
      <c r="P441" t="e">
        <f t="shared" ca="1" si="62"/>
        <v>#N/A</v>
      </c>
      <c r="Q441" t="e">
        <f t="shared" ca="1" si="57"/>
        <v>#N/A</v>
      </c>
      <c r="S441" t="e">
        <f t="shared" ca="1" si="55"/>
        <v>#N/A</v>
      </c>
      <c r="T441" t="e">
        <f t="shared" ca="1" si="56"/>
        <v>#N/A</v>
      </c>
      <c r="V441" t="str">
        <f t="shared" ca="1" si="59"/>
        <v/>
      </c>
      <c r="Y441" t="e">
        <f t="shared" si="60"/>
        <v>#N/A</v>
      </c>
      <c r="Z441" t="e">
        <f t="shared" ca="1" si="61"/>
        <v>#N/A</v>
      </c>
    </row>
    <row r="442" spans="14:26" x14ac:dyDescent="0.25">
      <c r="N442" t="str">
        <f t="shared" si="58"/>
        <v/>
      </c>
      <c r="P442" t="e">
        <f t="shared" ca="1" si="62"/>
        <v>#N/A</v>
      </c>
      <c r="Q442" t="e">
        <f t="shared" ca="1" si="57"/>
        <v>#N/A</v>
      </c>
      <c r="S442" t="e">
        <f t="shared" ca="1" si="55"/>
        <v>#N/A</v>
      </c>
      <c r="T442" t="e">
        <f t="shared" ca="1" si="56"/>
        <v>#N/A</v>
      </c>
      <c r="V442" t="str">
        <f t="shared" ca="1" si="59"/>
        <v/>
      </c>
      <c r="Y442" t="e">
        <f t="shared" si="60"/>
        <v>#N/A</v>
      </c>
      <c r="Z442" t="e">
        <f t="shared" ca="1" si="61"/>
        <v>#N/A</v>
      </c>
    </row>
    <row r="443" spans="14:26" x14ac:dyDescent="0.25">
      <c r="N443" t="str">
        <f t="shared" si="58"/>
        <v/>
      </c>
      <c r="P443" t="e">
        <f t="shared" ca="1" si="62"/>
        <v>#N/A</v>
      </c>
      <c r="Q443" t="e">
        <f t="shared" ca="1" si="57"/>
        <v>#N/A</v>
      </c>
      <c r="S443" t="e">
        <f t="shared" ca="1" si="55"/>
        <v>#N/A</v>
      </c>
      <c r="T443" t="e">
        <f t="shared" ca="1" si="56"/>
        <v>#N/A</v>
      </c>
      <c r="V443" t="str">
        <f t="shared" ca="1" si="59"/>
        <v/>
      </c>
      <c r="Y443" t="e">
        <f t="shared" si="60"/>
        <v>#N/A</v>
      </c>
      <c r="Z443" t="e">
        <f t="shared" ca="1" si="61"/>
        <v>#N/A</v>
      </c>
    </row>
    <row r="444" spans="14:26" x14ac:dyDescent="0.25">
      <c r="N444" t="str">
        <f t="shared" si="58"/>
        <v/>
      </c>
      <c r="P444" t="e">
        <f t="shared" ca="1" si="62"/>
        <v>#N/A</v>
      </c>
      <c r="Q444" t="e">
        <f t="shared" ca="1" si="57"/>
        <v>#N/A</v>
      </c>
      <c r="S444" t="e">
        <f t="shared" ca="1" si="55"/>
        <v>#N/A</v>
      </c>
      <c r="T444" t="e">
        <f t="shared" ca="1" si="56"/>
        <v>#N/A</v>
      </c>
      <c r="V444" t="str">
        <f t="shared" ca="1" si="59"/>
        <v/>
      </c>
      <c r="Y444" t="e">
        <f t="shared" si="60"/>
        <v>#N/A</v>
      </c>
      <c r="Z444" t="e">
        <f t="shared" ca="1" si="61"/>
        <v>#N/A</v>
      </c>
    </row>
    <row r="445" spans="14:26" x14ac:dyDescent="0.25">
      <c r="N445" t="str">
        <f t="shared" si="58"/>
        <v/>
      </c>
      <c r="P445" t="e">
        <f t="shared" ca="1" si="62"/>
        <v>#N/A</v>
      </c>
      <c r="Q445" t="e">
        <f t="shared" ca="1" si="57"/>
        <v>#N/A</v>
      </c>
      <c r="S445" t="e">
        <f t="shared" ca="1" si="55"/>
        <v>#N/A</v>
      </c>
      <c r="T445" t="e">
        <f t="shared" ca="1" si="56"/>
        <v>#N/A</v>
      </c>
      <c r="V445" t="str">
        <f t="shared" ca="1" si="59"/>
        <v/>
      </c>
      <c r="Y445" t="e">
        <f t="shared" si="60"/>
        <v>#N/A</v>
      </c>
      <c r="Z445" t="e">
        <f t="shared" ca="1" si="61"/>
        <v>#N/A</v>
      </c>
    </row>
    <row r="446" spans="14:26" x14ac:dyDescent="0.25">
      <c r="N446" t="str">
        <f t="shared" si="58"/>
        <v/>
      </c>
      <c r="P446" t="e">
        <f t="shared" ca="1" si="62"/>
        <v>#N/A</v>
      </c>
      <c r="Q446" t="e">
        <f t="shared" ca="1" si="57"/>
        <v>#N/A</v>
      </c>
      <c r="S446" t="e">
        <f t="shared" ca="1" si="55"/>
        <v>#N/A</v>
      </c>
      <c r="T446" t="e">
        <f t="shared" ca="1" si="56"/>
        <v>#N/A</v>
      </c>
      <c r="V446" t="str">
        <f t="shared" ca="1" si="59"/>
        <v/>
      </c>
      <c r="Y446" t="e">
        <f t="shared" si="60"/>
        <v>#N/A</v>
      </c>
      <c r="Z446" t="e">
        <f t="shared" ca="1" si="61"/>
        <v>#N/A</v>
      </c>
    </row>
    <row r="447" spans="14:26" x14ac:dyDescent="0.25">
      <c r="N447" t="str">
        <f t="shared" si="58"/>
        <v/>
      </c>
      <c r="P447" t="e">
        <f t="shared" ca="1" si="62"/>
        <v>#N/A</v>
      </c>
      <c r="Q447" t="e">
        <f t="shared" ca="1" si="57"/>
        <v>#N/A</v>
      </c>
      <c r="S447" t="e">
        <f t="shared" ca="1" si="55"/>
        <v>#N/A</v>
      </c>
      <c r="T447" t="e">
        <f t="shared" ca="1" si="56"/>
        <v>#N/A</v>
      </c>
      <c r="V447" t="str">
        <f t="shared" ca="1" si="59"/>
        <v/>
      </c>
      <c r="Y447" t="e">
        <f t="shared" si="60"/>
        <v>#N/A</v>
      </c>
      <c r="Z447" t="e">
        <f t="shared" ca="1" si="61"/>
        <v>#N/A</v>
      </c>
    </row>
    <row r="448" spans="14:26" x14ac:dyDescent="0.25">
      <c r="N448" t="str">
        <f t="shared" si="58"/>
        <v/>
      </c>
      <c r="P448" t="e">
        <f t="shared" ca="1" si="62"/>
        <v>#N/A</v>
      </c>
      <c r="Q448" t="e">
        <f t="shared" ca="1" si="57"/>
        <v>#N/A</v>
      </c>
      <c r="S448" t="e">
        <f t="shared" ca="1" si="55"/>
        <v>#N/A</v>
      </c>
      <c r="T448" t="e">
        <f t="shared" ca="1" si="56"/>
        <v>#N/A</v>
      </c>
      <c r="V448" t="str">
        <f t="shared" ca="1" si="59"/>
        <v/>
      </c>
      <c r="Y448" t="e">
        <f t="shared" si="60"/>
        <v>#N/A</v>
      </c>
      <c r="Z448" t="e">
        <f t="shared" ca="1" si="61"/>
        <v>#N/A</v>
      </c>
    </row>
    <row r="449" spans="14:26" x14ac:dyDescent="0.25">
      <c r="N449" t="str">
        <f t="shared" si="58"/>
        <v/>
      </c>
      <c r="P449" t="e">
        <f t="shared" ca="1" si="62"/>
        <v>#N/A</v>
      </c>
      <c r="Q449" t="e">
        <f t="shared" ca="1" si="57"/>
        <v>#N/A</v>
      </c>
      <c r="S449" t="e">
        <f t="shared" ca="1" si="55"/>
        <v>#N/A</v>
      </c>
      <c r="T449" t="e">
        <f t="shared" ca="1" si="56"/>
        <v>#N/A</v>
      </c>
      <c r="V449" t="str">
        <f t="shared" ca="1" si="59"/>
        <v/>
      </c>
      <c r="Y449" t="e">
        <f t="shared" si="60"/>
        <v>#N/A</v>
      </c>
      <c r="Z449" t="e">
        <f t="shared" ca="1" si="61"/>
        <v>#N/A</v>
      </c>
    </row>
    <row r="450" spans="14:26" x14ac:dyDescent="0.25">
      <c r="N450" t="str">
        <f t="shared" si="58"/>
        <v/>
      </c>
      <c r="P450" t="e">
        <f t="shared" ca="1" si="62"/>
        <v>#N/A</v>
      </c>
      <c r="Q450" t="e">
        <f t="shared" ca="1" si="57"/>
        <v>#N/A</v>
      </c>
      <c r="S450" t="e">
        <f t="shared" ca="1" si="55"/>
        <v>#N/A</v>
      </c>
      <c r="T450" t="e">
        <f t="shared" ca="1" si="56"/>
        <v>#N/A</v>
      </c>
      <c r="V450" t="str">
        <f t="shared" ca="1" si="59"/>
        <v/>
      </c>
      <c r="Y450" t="e">
        <f t="shared" si="60"/>
        <v>#N/A</v>
      </c>
      <c r="Z450" t="e">
        <f t="shared" ca="1" si="61"/>
        <v>#N/A</v>
      </c>
    </row>
    <row r="451" spans="14:26" x14ac:dyDescent="0.25">
      <c r="N451" t="str">
        <f t="shared" si="58"/>
        <v/>
      </c>
      <c r="P451" t="e">
        <f t="shared" ca="1" si="62"/>
        <v>#N/A</v>
      </c>
      <c r="Q451" t="e">
        <f t="shared" ca="1" si="57"/>
        <v>#N/A</v>
      </c>
      <c r="S451" t="e">
        <f t="shared" ca="1" si="55"/>
        <v>#N/A</v>
      </c>
      <c r="T451" t="e">
        <f t="shared" ca="1" si="56"/>
        <v>#N/A</v>
      </c>
      <c r="V451" t="str">
        <f t="shared" ca="1" si="59"/>
        <v/>
      </c>
      <c r="Y451" t="e">
        <f t="shared" si="60"/>
        <v>#N/A</v>
      </c>
      <c r="Z451" t="e">
        <f t="shared" ca="1" si="61"/>
        <v>#N/A</v>
      </c>
    </row>
    <row r="452" spans="14:26" x14ac:dyDescent="0.25">
      <c r="N452" t="str">
        <f t="shared" si="58"/>
        <v/>
      </c>
      <c r="P452" t="e">
        <f t="shared" ca="1" si="62"/>
        <v>#N/A</v>
      </c>
      <c r="Q452" t="e">
        <f t="shared" ca="1" si="57"/>
        <v>#N/A</v>
      </c>
      <c r="S452" t="e">
        <f t="shared" ca="1" si="55"/>
        <v>#N/A</v>
      </c>
      <c r="T452" t="e">
        <f t="shared" ca="1" si="56"/>
        <v>#N/A</v>
      </c>
      <c r="V452" t="str">
        <f t="shared" ca="1" si="59"/>
        <v/>
      </c>
      <c r="Y452" t="e">
        <f t="shared" si="60"/>
        <v>#N/A</v>
      </c>
      <c r="Z452" t="e">
        <f t="shared" ca="1" si="61"/>
        <v>#N/A</v>
      </c>
    </row>
    <row r="453" spans="14:26" x14ac:dyDescent="0.25">
      <c r="N453" t="str">
        <f t="shared" si="58"/>
        <v/>
      </c>
      <c r="P453" t="e">
        <f t="shared" ca="1" si="62"/>
        <v>#N/A</v>
      </c>
      <c r="Q453" t="e">
        <f t="shared" ca="1" si="57"/>
        <v>#N/A</v>
      </c>
      <c r="S453" t="e">
        <f t="shared" ca="1" si="55"/>
        <v>#N/A</v>
      </c>
      <c r="T453" t="e">
        <f t="shared" ca="1" si="56"/>
        <v>#N/A</v>
      </c>
      <c r="V453" t="str">
        <f t="shared" ca="1" si="59"/>
        <v/>
      </c>
      <c r="Y453" t="e">
        <f t="shared" si="60"/>
        <v>#N/A</v>
      </c>
      <c r="Z453" t="e">
        <f t="shared" ca="1" si="61"/>
        <v>#N/A</v>
      </c>
    </row>
    <row r="454" spans="14:26" x14ac:dyDescent="0.25">
      <c r="N454" t="str">
        <f t="shared" si="58"/>
        <v/>
      </c>
      <c r="P454" t="e">
        <f t="shared" ca="1" si="62"/>
        <v>#N/A</v>
      </c>
      <c r="Q454" t="e">
        <f t="shared" ca="1" si="57"/>
        <v>#N/A</v>
      </c>
      <c r="S454" t="e">
        <f t="shared" ca="1" si="55"/>
        <v>#N/A</v>
      </c>
      <c r="T454" t="e">
        <f t="shared" ca="1" si="56"/>
        <v>#N/A</v>
      </c>
      <c r="V454" t="str">
        <f t="shared" ca="1" si="59"/>
        <v/>
      </c>
      <c r="Y454" t="e">
        <f t="shared" si="60"/>
        <v>#N/A</v>
      </c>
      <c r="Z454" t="e">
        <f t="shared" ca="1" si="61"/>
        <v>#N/A</v>
      </c>
    </row>
    <row r="455" spans="14:26" x14ac:dyDescent="0.25">
      <c r="N455" t="str">
        <f t="shared" si="58"/>
        <v/>
      </c>
      <c r="P455" t="e">
        <f t="shared" ca="1" si="62"/>
        <v>#N/A</v>
      </c>
      <c r="Q455" t="e">
        <f t="shared" ca="1" si="57"/>
        <v>#N/A</v>
      </c>
      <c r="S455" t="e">
        <f t="shared" ca="1" si="55"/>
        <v>#N/A</v>
      </c>
      <c r="T455" t="e">
        <f t="shared" ca="1" si="56"/>
        <v>#N/A</v>
      </c>
      <c r="V455" t="str">
        <f t="shared" ca="1" si="59"/>
        <v/>
      </c>
      <c r="Y455" t="e">
        <f t="shared" si="60"/>
        <v>#N/A</v>
      </c>
      <c r="Z455" t="e">
        <f t="shared" ca="1" si="61"/>
        <v>#N/A</v>
      </c>
    </row>
    <row r="456" spans="14:26" x14ac:dyDescent="0.25">
      <c r="N456" t="str">
        <f t="shared" si="58"/>
        <v/>
      </c>
      <c r="P456" t="e">
        <f t="shared" ca="1" si="62"/>
        <v>#N/A</v>
      </c>
      <c r="Q456" t="e">
        <f t="shared" ca="1" si="57"/>
        <v>#N/A</v>
      </c>
      <c r="S456" t="e">
        <f t="shared" ref="S456:S500" ca="1" si="63">OFFSET($J$7,MATCH($N456,$I$7:$I$143,1)-1,0)</f>
        <v>#N/A</v>
      </c>
      <c r="T456" t="e">
        <f t="shared" ref="T456:T500" ca="1" si="64">OFFSET($J$7,MATCH($N456,$I$7:$I$143,1),0)</f>
        <v>#N/A</v>
      </c>
      <c r="V456" t="str">
        <f t="shared" ca="1" si="59"/>
        <v/>
      </c>
      <c r="Y456" t="e">
        <f t="shared" si="60"/>
        <v>#N/A</v>
      </c>
      <c r="Z456" t="e">
        <f t="shared" ca="1" si="61"/>
        <v>#N/A</v>
      </c>
    </row>
    <row r="457" spans="14:26" x14ac:dyDescent="0.25">
      <c r="N457" t="str">
        <f t="shared" si="58"/>
        <v/>
      </c>
      <c r="P457" t="e">
        <f t="shared" ca="1" si="62"/>
        <v>#N/A</v>
      </c>
      <c r="Q457" t="e">
        <f t="shared" ca="1" si="57"/>
        <v>#N/A</v>
      </c>
      <c r="S457" t="e">
        <f t="shared" ca="1" si="63"/>
        <v>#N/A</v>
      </c>
      <c r="T457" t="e">
        <f t="shared" ca="1" si="64"/>
        <v>#N/A</v>
      </c>
      <c r="V457" t="str">
        <f t="shared" ca="1" si="59"/>
        <v/>
      </c>
      <c r="Y457" t="e">
        <f t="shared" si="60"/>
        <v>#N/A</v>
      </c>
      <c r="Z457" t="e">
        <f t="shared" ca="1" si="61"/>
        <v>#N/A</v>
      </c>
    </row>
    <row r="458" spans="14:26" x14ac:dyDescent="0.25">
      <c r="N458" t="str">
        <f t="shared" si="58"/>
        <v/>
      </c>
      <c r="P458" t="e">
        <f t="shared" ca="1" si="62"/>
        <v>#N/A</v>
      </c>
      <c r="Q458" t="e">
        <f t="shared" ca="1" si="57"/>
        <v>#N/A</v>
      </c>
      <c r="S458" t="e">
        <f t="shared" ca="1" si="63"/>
        <v>#N/A</v>
      </c>
      <c r="T458" t="e">
        <f t="shared" ca="1" si="64"/>
        <v>#N/A</v>
      </c>
      <c r="V458" t="str">
        <f t="shared" ca="1" si="59"/>
        <v/>
      </c>
      <c r="Y458" t="e">
        <f t="shared" si="60"/>
        <v>#N/A</v>
      </c>
      <c r="Z458" t="e">
        <f t="shared" ca="1" si="61"/>
        <v>#N/A</v>
      </c>
    </row>
    <row r="459" spans="14:26" x14ac:dyDescent="0.25">
      <c r="N459" t="str">
        <f t="shared" si="58"/>
        <v/>
      </c>
      <c r="P459" t="e">
        <f t="shared" ca="1" si="62"/>
        <v>#N/A</v>
      </c>
      <c r="Q459" t="e">
        <f t="shared" ref="Q459:Q500" ca="1" si="65">OFFSET($I$7,MATCH($N459,$I$7:$I$143,1),0)</f>
        <v>#N/A</v>
      </c>
      <c r="S459" t="e">
        <f t="shared" ca="1" si="63"/>
        <v>#N/A</v>
      </c>
      <c r="T459" t="e">
        <f t="shared" ca="1" si="64"/>
        <v>#N/A</v>
      </c>
      <c r="V459" t="str">
        <f t="shared" ca="1" si="59"/>
        <v/>
      </c>
      <c r="Y459" t="e">
        <f t="shared" si="60"/>
        <v>#N/A</v>
      </c>
      <c r="Z459" t="e">
        <f t="shared" ca="1" si="61"/>
        <v>#N/A</v>
      </c>
    </row>
    <row r="460" spans="14:26" x14ac:dyDescent="0.25">
      <c r="N460" t="str">
        <f t="shared" si="58"/>
        <v/>
      </c>
      <c r="P460" t="e">
        <f t="shared" ca="1" si="62"/>
        <v>#N/A</v>
      </c>
      <c r="Q460" t="e">
        <f t="shared" ca="1" si="65"/>
        <v>#N/A</v>
      </c>
      <c r="S460" t="e">
        <f t="shared" ca="1" si="63"/>
        <v>#N/A</v>
      </c>
      <c r="T460" t="e">
        <f t="shared" ca="1" si="64"/>
        <v>#N/A</v>
      </c>
      <c r="V460" t="str">
        <f t="shared" ca="1" si="59"/>
        <v/>
      </c>
      <c r="Y460" t="e">
        <f t="shared" si="60"/>
        <v>#N/A</v>
      </c>
      <c r="Z460" t="e">
        <f t="shared" ca="1" si="61"/>
        <v>#N/A</v>
      </c>
    </row>
    <row r="461" spans="14:26" x14ac:dyDescent="0.25">
      <c r="N461" t="str">
        <f t="shared" si="58"/>
        <v/>
      </c>
      <c r="P461" t="e">
        <f t="shared" ca="1" si="62"/>
        <v>#N/A</v>
      </c>
      <c r="Q461" t="e">
        <f t="shared" ca="1" si="65"/>
        <v>#N/A</v>
      </c>
      <c r="S461" t="e">
        <f t="shared" ca="1" si="63"/>
        <v>#N/A</v>
      </c>
      <c r="T461" t="e">
        <f t="shared" ca="1" si="64"/>
        <v>#N/A</v>
      </c>
      <c r="V461" t="str">
        <f t="shared" ca="1" si="59"/>
        <v/>
      </c>
      <c r="Y461" t="e">
        <f t="shared" si="60"/>
        <v>#N/A</v>
      </c>
      <c r="Z461" t="e">
        <f t="shared" ca="1" si="61"/>
        <v>#N/A</v>
      </c>
    </row>
    <row r="462" spans="14:26" x14ac:dyDescent="0.25">
      <c r="N462" t="str">
        <f t="shared" si="58"/>
        <v/>
      </c>
      <c r="P462" t="e">
        <f t="shared" ca="1" si="62"/>
        <v>#N/A</v>
      </c>
      <c r="Q462" t="e">
        <f t="shared" ca="1" si="65"/>
        <v>#N/A</v>
      </c>
      <c r="S462" t="e">
        <f t="shared" ca="1" si="63"/>
        <v>#N/A</v>
      </c>
      <c r="T462" t="e">
        <f t="shared" ca="1" si="64"/>
        <v>#N/A</v>
      </c>
      <c r="V462" t="str">
        <f t="shared" ca="1" si="59"/>
        <v/>
      </c>
      <c r="Y462" t="e">
        <f t="shared" si="60"/>
        <v>#N/A</v>
      </c>
      <c r="Z462" t="e">
        <f t="shared" ca="1" si="61"/>
        <v>#N/A</v>
      </c>
    </row>
    <row r="463" spans="14:26" x14ac:dyDescent="0.25">
      <c r="N463" t="str">
        <f t="shared" si="58"/>
        <v/>
      </c>
      <c r="P463" t="e">
        <f t="shared" ca="1" si="62"/>
        <v>#N/A</v>
      </c>
      <c r="Q463" t="e">
        <f t="shared" ca="1" si="65"/>
        <v>#N/A</v>
      </c>
      <c r="S463" t="e">
        <f t="shared" ca="1" si="63"/>
        <v>#N/A</v>
      </c>
      <c r="T463" t="e">
        <f t="shared" ca="1" si="64"/>
        <v>#N/A</v>
      </c>
      <c r="V463" t="str">
        <f t="shared" ca="1" si="59"/>
        <v/>
      </c>
      <c r="Y463" t="e">
        <f t="shared" si="60"/>
        <v>#N/A</v>
      </c>
      <c r="Z463" t="e">
        <f t="shared" ca="1" si="61"/>
        <v>#N/A</v>
      </c>
    </row>
    <row r="464" spans="14:26" x14ac:dyDescent="0.25">
      <c r="N464" t="str">
        <f t="shared" si="58"/>
        <v/>
      </c>
      <c r="P464" t="e">
        <f t="shared" ca="1" si="62"/>
        <v>#N/A</v>
      </c>
      <c r="Q464" t="e">
        <f t="shared" ca="1" si="65"/>
        <v>#N/A</v>
      </c>
      <c r="S464" t="e">
        <f t="shared" ca="1" si="63"/>
        <v>#N/A</v>
      </c>
      <c r="T464" t="e">
        <f t="shared" ca="1" si="64"/>
        <v>#N/A</v>
      </c>
      <c r="V464" t="str">
        <f t="shared" ca="1" si="59"/>
        <v/>
      </c>
      <c r="Y464" t="e">
        <f t="shared" si="60"/>
        <v>#N/A</v>
      </c>
      <c r="Z464" t="e">
        <f t="shared" ca="1" si="61"/>
        <v>#N/A</v>
      </c>
    </row>
    <row r="465" spans="14:26" x14ac:dyDescent="0.25">
      <c r="N465" t="str">
        <f t="shared" ref="N465:N500" si="66">IF(N464&lt;$I$2,N464+(1/N$2),"")</f>
        <v/>
      </c>
      <c r="P465" t="e">
        <f t="shared" ca="1" si="62"/>
        <v>#N/A</v>
      </c>
      <c r="Q465" t="e">
        <f t="shared" ca="1" si="65"/>
        <v>#N/A</v>
      </c>
      <c r="S465" t="e">
        <f t="shared" ca="1" si="63"/>
        <v>#N/A</v>
      </c>
      <c r="T465" t="e">
        <f t="shared" ca="1" si="64"/>
        <v>#N/A</v>
      </c>
      <c r="V465" t="str">
        <f t="shared" ref="V465:V500" ca="1" si="67">IFERROR(S465+(T465-S465)*((N465-P465)/(Q465-P465)),"")</f>
        <v/>
      </c>
      <c r="Y465" t="e">
        <f t="shared" ref="Y465:Y500" si="68">IF(ISNUMBER(N465),N465,NA())</f>
        <v>#N/A</v>
      </c>
      <c r="Z465" t="e">
        <f t="shared" ref="Z465:Z500" ca="1" si="69">IF(ISNUMBER(V465),V465,NA())</f>
        <v>#N/A</v>
      </c>
    </row>
    <row r="466" spans="14:26" x14ac:dyDescent="0.25">
      <c r="N466" t="str">
        <f t="shared" si="66"/>
        <v/>
      </c>
      <c r="P466" t="e">
        <f t="shared" ca="1" si="62"/>
        <v>#N/A</v>
      </c>
      <c r="Q466" t="e">
        <f t="shared" ca="1" si="65"/>
        <v>#N/A</v>
      </c>
      <c r="S466" t="e">
        <f t="shared" ca="1" si="63"/>
        <v>#N/A</v>
      </c>
      <c r="T466" t="e">
        <f t="shared" ca="1" si="64"/>
        <v>#N/A</v>
      </c>
      <c r="V466" t="str">
        <f t="shared" ca="1" si="67"/>
        <v/>
      </c>
      <c r="Y466" t="e">
        <f t="shared" si="68"/>
        <v>#N/A</v>
      </c>
      <c r="Z466" t="e">
        <f t="shared" ca="1" si="69"/>
        <v>#N/A</v>
      </c>
    </row>
    <row r="467" spans="14:26" x14ac:dyDescent="0.25">
      <c r="N467" t="str">
        <f t="shared" si="66"/>
        <v/>
      </c>
      <c r="P467" t="e">
        <f t="shared" ca="1" si="62"/>
        <v>#N/A</v>
      </c>
      <c r="Q467" t="e">
        <f t="shared" ca="1" si="65"/>
        <v>#N/A</v>
      </c>
      <c r="S467" t="e">
        <f t="shared" ca="1" si="63"/>
        <v>#N/A</v>
      </c>
      <c r="T467" t="e">
        <f t="shared" ca="1" si="64"/>
        <v>#N/A</v>
      </c>
      <c r="V467" t="str">
        <f t="shared" ca="1" si="67"/>
        <v/>
      </c>
      <c r="Y467" t="e">
        <f t="shared" si="68"/>
        <v>#N/A</v>
      </c>
      <c r="Z467" t="e">
        <f t="shared" ca="1" si="69"/>
        <v>#N/A</v>
      </c>
    </row>
    <row r="468" spans="14:26" x14ac:dyDescent="0.25">
      <c r="N468" t="str">
        <f t="shared" si="66"/>
        <v/>
      </c>
      <c r="P468" t="e">
        <f t="shared" ca="1" si="62"/>
        <v>#N/A</v>
      </c>
      <c r="Q468" t="e">
        <f t="shared" ca="1" si="65"/>
        <v>#N/A</v>
      </c>
      <c r="S468" t="e">
        <f t="shared" ca="1" si="63"/>
        <v>#N/A</v>
      </c>
      <c r="T468" t="e">
        <f t="shared" ca="1" si="64"/>
        <v>#N/A</v>
      </c>
      <c r="V468" t="str">
        <f t="shared" ca="1" si="67"/>
        <v/>
      </c>
      <c r="Y468" t="e">
        <f t="shared" si="68"/>
        <v>#N/A</v>
      </c>
      <c r="Z468" t="e">
        <f t="shared" ca="1" si="69"/>
        <v>#N/A</v>
      </c>
    </row>
    <row r="469" spans="14:26" x14ac:dyDescent="0.25">
      <c r="N469" t="str">
        <f t="shared" si="66"/>
        <v/>
      </c>
      <c r="P469" t="e">
        <f t="shared" ca="1" si="62"/>
        <v>#N/A</v>
      </c>
      <c r="Q469" t="e">
        <f t="shared" ca="1" si="65"/>
        <v>#N/A</v>
      </c>
      <c r="S469" t="e">
        <f t="shared" ca="1" si="63"/>
        <v>#N/A</v>
      </c>
      <c r="T469" t="e">
        <f t="shared" ca="1" si="64"/>
        <v>#N/A</v>
      </c>
      <c r="V469" t="str">
        <f t="shared" ca="1" si="67"/>
        <v/>
      </c>
      <c r="Y469" t="e">
        <f t="shared" si="68"/>
        <v>#N/A</v>
      </c>
      <c r="Z469" t="e">
        <f t="shared" ca="1" si="69"/>
        <v>#N/A</v>
      </c>
    </row>
    <row r="470" spans="14:26" x14ac:dyDescent="0.25">
      <c r="N470" t="str">
        <f t="shared" si="66"/>
        <v/>
      </c>
      <c r="P470" t="e">
        <f t="shared" ca="1" si="62"/>
        <v>#N/A</v>
      </c>
      <c r="Q470" t="e">
        <f t="shared" ca="1" si="65"/>
        <v>#N/A</v>
      </c>
      <c r="S470" t="e">
        <f t="shared" ca="1" si="63"/>
        <v>#N/A</v>
      </c>
      <c r="T470" t="e">
        <f t="shared" ca="1" si="64"/>
        <v>#N/A</v>
      </c>
      <c r="V470" t="str">
        <f t="shared" ca="1" si="67"/>
        <v/>
      </c>
      <c r="Y470" t="e">
        <f t="shared" si="68"/>
        <v>#N/A</v>
      </c>
      <c r="Z470" t="e">
        <f t="shared" ca="1" si="69"/>
        <v>#N/A</v>
      </c>
    </row>
    <row r="471" spans="14:26" x14ac:dyDescent="0.25">
      <c r="N471" t="str">
        <f t="shared" si="66"/>
        <v/>
      </c>
      <c r="P471" t="e">
        <f t="shared" ca="1" si="62"/>
        <v>#N/A</v>
      </c>
      <c r="Q471" t="e">
        <f t="shared" ca="1" si="65"/>
        <v>#N/A</v>
      </c>
      <c r="S471" t="e">
        <f t="shared" ca="1" si="63"/>
        <v>#N/A</v>
      </c>
      <c r="T471" t="e">
        <f t="shared" ca="1" si="64"/>
        <v>#N/A</v>
      </c>
      <c r="V471" t="str">
        <f t="shared" ca="1" si="67"/>
        <v/>
      </c>
      <c r="Y471" t="e">
        <f t="shared" si="68"/>
        <v>#N/A</v>
      </c>
      <c r="Z471" t="e">
        <f t="shared" ca="1" si="69"/>
        <v>#N/A</v>
      </c>
    </row>
    <row r="472" spans="14:26" x14ac:dyDescent="0.25">
      <c r="N472" t="str">
        <f t="shared" si="66"/>
        <v/>
      </c>
      <c r="P472" t="e">
        <f t="shared" ca="1" si="62"/>
        <v>#N/A</v>
      </c>
      <c r="Q472" t="e">
        <f t="shared" ca="1" si="65"/>
        <v>#N/A</v>
      </c>
      <c r="S472" t="e">
        <f t="shared" ca="1" si="63"/>
        <v>#N/A</v>
      </c>
      <c r="T472" t="e">
        <f t="shared" ca="1" si="64"/>
        <v>#N/A</v>
      </c>
      <c r="V472" t="str">
        <f t="shared" ca="1" si="67"/>
        <v/>
      </c>
      <c r="Y472" t="e">
        <f t="shared" si="68"/>
        <v>#N/A</v>
      </c>
      <c r="Z472" t="e">
        <f t="shared" ca="1" si="69"/>
        <v>#N/A</v>
      </c>
    </row>
    <row r="473" spans="14:26" x14ac:dyDescent="0.25">
      <c r="N473" t="str">
        <f t="shared" si="66"/>
        <v/>
      </c>
      <c r="P473" t="e">
        <f t="shared" ca="1" si="62"/>
        <v>#N/A</v>
      </c>
      <c r="Q473" t="e">
        <f t="shared" ca="1" si="65"/>
        <v>#N/A</v>
      </c>
      <c r="S473" t="e">
        <f t="shared" ca="1" si="63"/>
        <v>#N/A</v>
      </c>
      <c r="T473" t="e">
        <f t="shared" ca="1" si="64"/>
        <v>#N/A</v>
      </c>
      <c r="V473" t="str">
        <f t="shared" ca="1" si="67"/>
        <v/>
      </c>
      <c r="Y473" t="e">
        <f t="shared" si="68"/>
        <v>#N/A</v>
      </c>
      <c r="Z473" t="e">
        <f t="shared" ca="1" si="69"/>
        <v>#N/A</v>
      </c>
    </row>
    <row r="474" spans="14:26" x14ac:dyDescent="0.25">
      <c r="N474" t="str">
        <f t="shared" si="66"/>
        <v/>
      </c>
      <c r="P474" t="e">
        <f t="shared" ca="1" si="62"/>
        <v>#N/A</v>
      </c>
      <c r="Q474" t="e">
        <f t="shared" ca="1" si="65"/>
        <v>#N/A</v>
      </c>
      <c r="S474" t="e">
        <f t="shared" ca="1" si="63"/>
        <v>#N/A</v>
      </c>
      <c r="T474" t="e">
        <f t="shared" ca="1" si="64"/>
        <v>#N/A</v>
      </c>
      <c r="V474" t="str">
        <f t="shared" ca="1" si="67"/>
        <v/>
      </c>
      <c r="Y474" t="e">
        <f t="shared" si="68"/>
        <v>#N/A</v>
      </c>
      <c r="Z474" t="e">
        <f t="shared" ca="1" si="69"/>
        <v>#N/A</v>
      </c>
    </row>
    <row r="475" spans="14:26" x14ac:dyDescent="0.25">
      <c r="N475" t="str">
        <f t="shared" si="66"/>
        <v/>
      </c>
      <c r="P475" t="e">
        <f t="shared" ca="1" si="62"/>
        <v>#N/A</v>
      </c>
      <c r="Q475" t="e">
        <f t="shared" ca="1" si="65"/>
        <v>#N/A</v>
      </c>
      <c r="S475" t="e">
        <f t="shared" ca="1" si="63"/>
        <v>#N/A</v>
      </c>
      <c r="T475" t="e">
        <f t="shared" ca="1" si="64"/>
        <v>#N/A</v>
      </c>
      <c r="V475" t="str">
        <f t="shared" ca="1" si="67"/>
        <v/>
      </c>
      <c r="Y475" t="e">
        <f t="shared" si="68"/>
        <v>#N/A</v>
      </c>
      <c r="Z475" t="e">
        <f t="shared" ca="1" si="69"/>
        <v>#N/A</v>
      </c>
    </row>
    <row r="476" spans="14:26" x14ac:dyDescent="0.25">
      <c r="N476" t="str">
        <f t="shared" si="66"/>
        <v/>
      </c>
      <c r="P476" t="e">
        <f t="shared" ca="1" si="62"/>
        <v>#N/A</v>
      </c>
      <c r="Q476" t="e">
        <f t="shared" ca="1" si="65"/>
        <v>#N/A</v>
      </c>
      <c r="S476" t="e">
        <f t="shared" ca="1" si="63"/>
        <v>#N/A</v>
      </c>
      <c r="T476" t="e">
        <f t="shared" ca="1" si="64"/>
        <v>#N/A</v>
      </c>
      <c r="V476" t="str">
        <f t="shared" ca="1" si="67"/>
        <v/>
      </c>
      <c r="Y476" t="e">
        <f t="shared" si="68"/>
        <v>#N/A</v>
      </c>
      <c r="Z476" t="e">
        <f t="shared" ca="1" si="69"/>
        <v>#N/A</v>
      </c>
    </row>
    <row r="477" spans="14:26" x14ac:dyDescent="0.25">
      <c r="N477" t="str">
        <f t="shared" si="66"/>
        <v/>
      </c>
      <c r="P477" t="e">
        <f t="shared" ca="1" si="62"/>
        <v>#N/A</v>
      </c>
      <c r="Q477" t="e">
        <f t="shared" ca="1" si="65"/>
        <v>#N/A</v>
      </c>
      <c r="S477" t="e">
        <f t="shared" ca="1" si="63"/>
        <v>#N/A</v>
      </c>
      <c r="T477" t="e">
        <f t="shared" ca="1" si="64"/>
        <v>#N/A</v>
      </c>
      <c r="V477" t="str">
        <f t="shared" ca="1" si="67"/>
        <v/>
      </c>
      <c r="Y477" t="e">
        <f t="shared" si="68"/>
        <v>#N/A</v>
      </c>
      <c r="Z477" t="e">
        <f t="shared" ca="1" si="69"/>
        <v>#N/A</v>
      </c>
    </row>
    <row r="478" spans="14:26" x14ac:dyDescent="0.25">
      <c r="N478" t="str">
        <f t="shared" si="66"/>
        <v/>
      </c>
      <c r="P478" t="e">
        <f t="shared" ref="P478:P500" ca="1" si="70">OFFSET($I$7,MATCH($N478,$I$7:$I$143,1)-1,0)</f>
        <v>#N/A</v>
      </c>
      <c r="Q478" t="e">
        <f t="shared" ca="1" si="65"/>
        <v>#N/A</v>
      </c>
      <c r="S478" t="e">
        <f t="shared" ca="1" si="63"/>
        <v>#N/A</v>
      </c>
      <c r="T478" t="e">
        <f t="shared" ca="1" si="64"/>
        <v>#N/A</v>
      </c>
      <c r="V478" t="str">
        <f t="shared" ca="1" si="67"/>
        <v/>
      </c>
      <c r="Y478" t="e">
        <f t="shared" si="68"/>
        <v>#N/A</v>
      </c>
      <c r="Z478" t="e">
        <f t="shared" ca="1" si="69"/>
        <v>#N/A</v>
      </c>
    </row>
    <row r="479" spans="14:26" x14ac:dyDescent="0.25">
      <c r="N479" t="str">
        <f t="shared" si="66"/>
        <v/>
      </c>
      <c r="P479" t="e">
        <f t="shared" ca="1" si="70"/>
        <v>#N/A</v>
      </c>
      <c r="Q479" t="e">
        <f t="shared" ca="1" si="65"/>
        <v>#N/A</v>
      </c>
      <c r="S479" t="e">
        <f t="shared" ca="1" si="63"/>
        <v>#N/A</v>
      </c>
      <c r="T479" t="e">
        <f t="shared" ca="1" si="64"/>
        <v>#N/A</v>
      </c>
      <c r="V479" t="str">
        <f t="shared" ca="1" si="67"/>
        <v/>
      </c>
      <c r="Y479" t="e">
        <f t="shared" si="68"/>
        <v>#N/A</v>
      </c>
      <c r="Z479" t="e">
        <f t="shared" ca="1" si="69"/>
        <v>#N/A</v>
      </c>
    </row>
    <row r="480" spans="14:26" x14ac:dyDescent="0.25">
      <c r="N480" t="str">
        <f t="shared" si="66"/>
        <v/>
      </c>
      <c r="P480" t="e">
        <f t="shared" ca="1" si="70"/>
        <v>#N/A</v>
      </c>
      <c r="Q480" t="e">
        <f t="shared" ca="1" si="65"/>
        <v>#N/A</v>
      </c>
      <c r="S480" t="e">
        <f t="shared" ca="1" si="63"/>
        <v>#N/A</v>
      </c>
      <c r="T480" t="e">
        <f t="shared" ca="1" si="64"/>
        <v>#N/A</v>
      </c>
      <c r="V480" t="str">
        <f t="shared" ca="1" si="67"/>
        <v/>
      </c>
      <c r="Y480" t="e">
        <f t="shared" si="68"/>
        <v>#N/A</v>
      </c>
      <c r="Z480" t="e">
        <f t="shared" ca="1" si="69"/>
        <v>#N/A</v>
      </c>
    </row>
    <row r="481" spans="14:26" x14ac:dyDescent="0.25">
      <c r="N481" t="str">
        <f t="shared" si="66"/>
        <v/>
      </c>
      <c r="P481" t="e">
        <f t="shared" ca="1" si="70"/>
        <v>#N/A</v>
      </c>
      <c r="Q481" t="e">
        <f t="shared" ca="1" si="65"/>
        <v>#N/A</v>
      </c>
      <c r="S481" t="e">
        <f t="shared" ca="1" si="63"/>
        <v>#N/A</v>
      </c>
      <c r="T481" t="e">
        <f t="shared" ca="1" si="64"/>
        <v>#N/A</v>
      </c>
      <c r="V481" t="str">
        <f t="shared" ca="1" si="67"/>
        <v/>
      </c>
      <c r="Y481" t="e">
        <f t="shared" si="68"/>
        <v>#N/A</v>
      </c>
      <c r="Z481" t="e">
        <f t="shared" ca="1" si="69"/>
        <v>#N/A</v>
      </c>
    </row>
    <row r="482" spans="14:26" x14ac:dyDescent="0.25">
      <c r="N482" t="str">
        <f t="shared" si="66"/>
        <v/>
      </c>
      <c r="P482" t="e">
        <f t="shared" ca="1" si="70"/>
        <v>#N/A</v>
      </c>
      <c r="Q482" t="e">
        <f t="shared" ca="1" si="65"/>
        <v>#N/A</v>
      </c>
      <c r="S482" t="e">
        <f t="shared" ca="1" si="63"/>
        <v>#N/A</v>
      </c>
      <c r="T482" t="e">
        <f t="shared" ca="1" si="64"/>
        <v>#N/A</v>
      </c>
      <c r="V482" t="str">
        <f t="shared" ca="1" si="67"/>
        <v/>
      </c>
      <c r="Y482" t="e">
        <f t="shared" si="68"/>
        <v>#N/A</v>
      </c>
      <c r="Z482" t="e">
        <f t="shared" ca="1" si="69"/>
        <v>#N/A</v>
      </c>
    </row>
    <row r="483" spans="14:26" x14ac:dyDescent="0.25">
      <c r="N483" t="str">
        <f t="shared" si="66"/>
        <v/>
      </c>
      <c r="P483" t="e">
        <f t="shared" ca="1" si="70"/>
        <v>#N/A</v>
      </c>
      <c r="Q483" t="e">
        <f t="shared" ca="1" si="65"/>
        <v>#N/A</v>
      </c>
      <c r="S483" t="e">
        <f t="shared" ca="1" si="63"/>
        <v>#N/A</v>
      </c>
      <c r="T483" t="e">
        <f t="shared" ca="1" si="64"/>
        <v>#N/A</v>
      </c>
      <c r="V483" t="str">
        <f t="shared" ca="1" si="67"/>
        <v/>
      </c>
      <c r="Y483" t="e">
        <f t="shared" si="68"/>
        <v>#N/A</v>
      </c>
      <c r="Z483" t="e">
        <f t="shared" ca="1" si="69"/>
        <v>#N/A</v>
      </c>
    </row>
    <row r="484" spans="14:26" x14ac:dyDescent="0.25">
      <c r="N484" t="str">
        <f t="shared" si="66"/>
        <v/>
      </c>
      <c r="P484" t="e">
        <f t="shared" ca="1" si="70"/>
        <v>#N/A</v>
      </c>
      <c r="Q484" t="e">
        <f t="shared" ca="1" si="65"/>
        <v>#N/A</v>
      </c>
      <c r="S484" t="e">
        <f t="shared" ca="1" si="63"/>
        <v>#N/A</v>
      </c>
      <c r="T484" t="e">
        <f t="shared" ca="1" si="64"/>
        <v>#N/A</v>
      </c>
      <c r="V484" t="str">
        <f t="shared" ca="1" si="67"/>
        <v/>
      </c>
      <c r="Y484" t="e">
        <f t="shared" si="68"/>
        <v>#N/A</v>
      </c>
      <c r="Z484" t="e">
        <f t="shared" ca="1" si="69"/>
        <v>#N/A</v>
      </c>
    </row>
    <row r="485" spans="14:26" x14ac:dyDescent="0.25">
      <c r="N485" t="str">
        <f t="shared" si="66"/>
        <v/>
      </c>
      <c r="P485" t="e">
        <f t="shared" ca="1" si="70"/>
        <v>#N/A</v>
      </c>
      <c r="Q485" t="e">
        <f t="shared" ca="1" si="65"/>
        <v>#N/A</v>
      </c>
      <c r="S485" t="e">
        <f t="shared" ca="1" si="63"/>
        <v>#N/A</v>
      </c>
      <c r="T485" t="e">
        <f t="shared" ca="1" si="64"/>
        <v>#N/A</v>
      </c>
      <c r="V485" t="str">
        <f t="shared" ca="1" si="67"/>
        <v/>
      </c>
      <c r="Y485" t="e">
        <f t="shared" si="68"/>
        <v>#N/A</v>
      </c>
      <c r="Z485" t="e">
        <f t="shared" ca="1" si="69"/>
        <v>#N/A</v>
      </c>
    </row>
    <row r="486" spans="14:26" x14ac:dyDescent="0.25">
      <c r="N486" t="str">
        <f t="shared" si="66"/>
        <v/>
      </c>
      <c r="P486" t="e">
        <f t="shared" ca="1" si="70"/>
        <v>#N/A</v>
      </c>
      <c r="Q486" t="e">
        <f t="shared" ca="1" si="65"/>
        <v>#N/A</v>
      </c>
      <c r="S486" t="e">
        <f t="shared" ca="1" si="63"/>
        <v>#N/A</v>
      </c>
      <c r="T486" t="e">
        <f t="shared" ca="1" si="64"/>
        <v>#N/A</v>
      </c>
      <c r="V486" t="str">
        <f t="shared" ca="1" si="67"/>
        <v/>
      </c>
      <c r="Y486" t="e">
        <f t="shared" si="68"/>
        <v>#N/A</v>
      </c>
      <c r="Z486" t="e">
        <f t="shared" ca="1" si="69"/>
        <v>#N/A</v>
      </c>
    </row>
    <row r="487" spans="14:26" x14ac:dyDescent="0.25">
      <c r="N487" t="str">
        <f t="shared" si="66"/>
        <v/>
      </c>
      <c r="P487" t="e">
        <f t="shared" ca="1" si="70"/>
        <v>#N/A</v>
      </c>
      <c r="Q487" t="e">
        <f t="shared" ca="1" si="65"/>
        <v>#N/A</v>
      </c>
      <c r="S487" t="e">
        <f t="shared" ca="1" si="63"/>
        <v>#N/A</v>
      </c>
      <c r="T487" t="e">
        <f t="shared" ca="1" si="64"/>
        <v>#N/A</v>
      </c>
      <c r="V487" t="str">
        <f t="shared" ca="1" si="67"/>
        <v/>
      </c>
      <c r="Y487" t="e">
        <f t="shared" si="68"/>
        <v>#N/A</v>
      </c>
      <c r="Z487" t="e">
        <f t="shared" ca="1" si="69"/>
        <v>#N/A</v>
      </c>
    </row>
    <row r="488" spans="14:26" x14ac:dyDescent="0.25">
      <c r="N488" t="str">
        <f t="shared" si="66"/>
        <v/>
      </c>
      <c r="P488" t="e">
        <f t="shared" ca="1" si="70"/>
        <v>#N/A</v>
      </c>
      <c r="Q488" t="e">
        <f t="shared" ca="1" si="65"/>
        <v>#N/A</v>
      </c>
      <c r="S488" t="e">
        <f t="shared" ca="1" si="63"/>
        <v>#N/A</v>
      </c>
      <c r="T488" t="e">
        <f t="shared" ca="1" si="64"/>
        <v>#N/A</v>
      </c>
      <c r="V488" t="str">
        <f t="shared" ca="1" si="67"/>
        <v/>
      </c>
      <c r="Y488" t="e">
        <f t="shared" si="68"/>
        <v>#N/A</v>
      </c>
      <c r="Z488" t="e">
        <f t="shared" ca="1" si="69"/>
        <v>#N/A</v>
      </c>
    </row>
    <row r="489" spans="14:26" x14ac:dyDescent="0.25">
      <c r="N489" t="str">
        <f t="shared" si="66"/>
        <v/>
      </c>
      <c r="P489" t="e">
        <f t="shared" ca="1" si="70"/>
        <v>#N/A</v>
      </c>
      <c r="Q489" t="e">
        <f t="shared" ca="1" si="65"/>
        <v>#N/A</v>
      </c>
      <c r="S489" t="e">
        <f t="shared" ca="1" si="63"/>
        <v>#N/A</v>
      </c>
      <c r="T489" t="e">
        <f t="shared" ca="1" si="64"/>
        <v>#N/A</v>
      </c>
      <c r="V489" t="str">
        <f t="shared" ca="1" si="67"/>
        <v/>
      </c>
      <c r="Y489" t="e">
        <f t="shared" si="68"/>
        <v>#N/A</v>
      </c>
      <c r="Z489" t="e">
        <f t="shared" ca="1" si="69"/>
        <v>#N/A</v>
      </c>
    </row>
    <row r="490" spans="14:26" x14ac:dyDescent="0.25">
      <c r="N490" t="str">
        <f t="shared" si="66"/>
        <v/>
      </c>
      <c r="P490" t="e">
        <f t="shared" ca="1" si="70"/>
        <v>#N/A</v>
      </c>
      <c r="Q490" t="e">
        <f t="shared" ca="1" si="65"/>
        <v>#N/A</v>
      </c>
      <c r="S490" t="e">
        <f t="shared" ca="1" si="63"/>
        <v>#N/A</v>
      </c>
      <c r="T490" t="e">
        <f t="shared" ca="1" si="64"/>
        <v>#N/A</v>
      </c>
      <c r="V490" t="str">
        <f t="shared" ca="1" si="67"/>
        <v/>
      </c>
      <c r="Y490" t="e">
        <f t="shared" si="68"/>
        <v>#N/A</v>
      </c>
      <c r="Z490" t="e">
        <f t="shared" ca="1" si="69"/>
        <v>#N/A</v>
      </c>
    </row>
    <row r="491" spans="14:26" x14ac:dyDescent="0.25">
      <c r="N491" t="str">
        <f t="shared" si="66"/>
        <v/>
      </c>
      <c r="P491" t="e">
        <f t="shared" ca="1" si="70"/>
        <v>#N/A</v>
      </c>
      <c r="Q491" t="e">
        <f t="shared" ca="1" si="65"/>
        <v>#N/A</v>
      </c>
      <c r="S491" t="e">
        <f t="shared" ca="1" si="63"/>
        <v>#N/A</v>
      </c>
      <c r="T491" t="e">
        <f t="shared" ca="1" si="64"/>
        <v>#N/A</v>
      </c>
      <c r="V491" t="str">
        <f t="shared" ca="1" si="67"/>
        <v/>
      </c>
      <c r="Y491" t="e">
        <f t="shared" si="68"/>
        <v>#N/A</v>
      </c>
      <c r="Z491" t="e">
        <f t="shared" ca="1" si="69"/>
        <v>#N/A</v>
      </c>
    </row>
    <row r="492" spans="14:26" x14ac:dyDescent="0.25">
      <c r="N492" t="str">
        <f t="shared" si="66"/>
        <v/>
      </c>
      <c r="P492" t="e">
        <f t="shared" ca="1" si="70"/>
        <v>#N/A</v>
      </c>
      <c r="Q492" t="e">
        <f t="shared" ca="1" si="65"/>
        <v>#N/A</v>
      </c>
      <c r="S492" t="e">
        <f t="shared" ca="1" si="63"/>
        <v>#N/A</v>
      </c>
      <c r="T492" t="e">
        <f t="shared" ca="1" si="64"/>
        <v>#N/A</v>
      </c>
      <c r="V492" t="str">
        <f t="shared" ca="1" si="67"/>
        <v/>
      </c>
      <c r="Y492" t="e">
        <f t="shared" si="68"/>
        <v>#N/A</v>
      </c>
      <c r="Z492" t="e">
        <f t="shared" ca="1" si="69"/>
        <v>#N/A</v>
      </c>
    </row>
    <row r="493" spans="14:26" x14ac:dyDescent="0.25">
      <c r="N493" t="str">
        <f t="shared" si="66"/>
        <v/>
      </c>
      <c r="P493" t="e">
        <f t="shared" ca="1" si="70"/>
        <v>#N/A</v>
      </c>
      <c r="Q493" t="e">
        <f t="shared" ca="1" si="65"/>
        <v>#N/A</v>
      </c>
      <c r="S493" t="e">
        <f t="shared" ca="1" si="63"/>
        <v>#N/A</v>
      </c>
      <c r="T493" t="e">
        <f t="shared" ca="1" si="64"/>
        <v>#N/A</v>
      </c>
      <c r="V493" t="str">
        <f t="shared" ca="1" si="67"/>
        <v/>
      </c>
      <c r="Y493" t="e">
        <f t="shared" si="68"/>
        <v>#N/A</v>
      </c>
      <c r="Z493" t="e">
        <f t="shared" ca="1" si="69"/>
        <v>#N/A</v>
      </c>
    </row>
    <row r="494" spans="14:26" x14ac:dyDescent="0.25">
      <c r="N494" t="str">
        <f t="shared" si="66"/>
        <v/>
      </c>
      <c r="P494" t="e">
        <f t="shared" ca="1" si="70"/>
        <v>#N/A</v>
      </c>
      <c r="Q494" t="e">
        <f t="shared" ca="1" si="65"/>
        <v>#N/A</v>
      </c>
      <c r="S494" t="e">
        <f t="shared" ca="1" si="63"/>
        <v>#N/A</v>
      </c>
      <c r="T494" t="e">
        <f t="shared" ca="1" si="64"/>
        <v>#N/A</v>
      </c>
      <c r="V494" t="str">
        <f t="shared" ca="1" si="67"/>
        <v/>
      </c>
      <c r="Y494" t="e">
        <f t="shared" si="68"/>
        <v>#N/A</v>
      </c>
      <c r="Z494" t="e">
        <f t="shared" ca="1" si="69"/>
        <v>#N/A</v>
      </c>
    </row>
    <row r="495" spans="14:26" x14ac:dyDescent="0.25">
      <c r="N495" t="str">
        <f t="shared" si="66"/>
        <v/>
      </c>
      <c r="P495" t="e">
        <f t="shared" ca="1" si="70"/>
        <v>#N/A</v>
      </c>
      <c r="Q495" t="e">
        <f t="shared" ca="1" si="65"/>
        <v>#N/A</v>
      </c>
      <c r="S495" t="e">
        <f t="shared" ca="1" si="63"/>
        <v>#N/A</v>
      </c>
      <c r="T495" t="e">
        <f t="shared" ca="1" si="64"/>
        <v>#N/A</v>
      </c>
      <c r="V495" t="str">
        <f t="shared" ca="1" si="67"/>
        <v/>
      </c>
      <c r="Y495" t="e">
        <f t="shared" si="68"/>
        <v>#N/A</v>
      </c>
      <c r="Z495" t="e">
        <f t="shared" ca="1" si="69"/>
        <v>#N/A</v>
      </c>
    </row>
    <row r="496" spans="14:26" x14ac:dyDescent="0.25">
      <c r="N496" t="str">
        <f t="shared" si="66"/>
        <v/>
      </c>
      <c r="P496" t="e">
        <f t="shared" ca="1" si="70"/>
        <v>#N/A</v>
      </c>
      <c r="Q496" t="e">
        <f t="shared" ca="1" si="65"/>
        <v>#N/A</v>
      </c>
      <c r="S496" t="e">
        <f t="shared" ca="1" si="63"/>
        <v>#N/A</v>
      </c>
      <c r="T496" t="e">
        <f t="shared" ca="1" si="64"/>
        <v>#N/A</v>
      </c>
      <c r="V496" t="str">
        <f t="shared" ca="1" si="67"/>
        <v/>
      </c>
      <c r="Y496" t="e">
        <f t="shared" si="68"/>
        <v>#N/A</v>
      </c>
      <c r="Z496" t="e">
        <f t="shared" ca="1" si="69"/>
        <v>#N/A</v>
      </c>
    </row>
    <row r="497" spans="14:26" x14ac:dyDescent="0.25">
      <c r="N497" t="str">
        <f t="shared" si="66"/>
        <v/>
      </c>
      <c r="P497" t="e">
        <f t="shared" ca="1" si="70"/>
        <v>#N/A</v>
      </c>
      <c r="Q497" t="e">
        <f t="shared" ca="1" si="65"/>
        <v>#N/A</v>
      </c>
      <c r="S497" t="e">
        <f t="shared" ca="1" si="63"/>
        <v>#N/A</v>
      </c>
      <c r="T497" t="e">
        <f t="shared" ca="1" si="64"/>
        <v>#N/A</v>
      </c>
      <c r="V497" t="str">
        <f t="shared" ca="1" si="67"/>
        <v/>
      </c>
      <c r="Y497" t="e">
        <f t="shared" si="68"/>
        <v>#N/A</v>
      </c>
      <c r="Z497" t="e">
        <f t="shared" ca="1" si="69"/>
        <v>#N/A</v>
      </c>
    </row>
    <row r="498" spans="14:26" x14ac:dyDescent="0.25">
      <c r="N498" t="str">
        <f t="shared" si="66"/>
        <v/>
      </c>
      <c r="P498" t="e">
        <f t="shared" ca="1" si="70"/>
        <v>#N/A</v>
      </c>
      <c r="Q498" t="e">
        <f t="shared" ca="1" si="65"/>
        <v>#N/A</v>
      </c>
      <c r="S498" t="e">
        <f t="shared" ca="1" si="63"/>
        <v>#N/A</v>
      </c>
      <c r="T498" t="e">
        <f t="shared" ca="1" si="64"/>
        <v>#N/A</v>
      </c>
      <c r="V498" t="str">
        <f t="shared" ca="1" si="67"/>
        <v/>
      </c>
      <c r="Y498" t="e">
        <f t="shared" si="68"/>
        <v>#N/A</v>
      </c>
      <c r="Z498" t="e">
        <f t="shared" ca="1" si="69"/>
        <v>#N/A</v>
      </c>
    </row>
    <row r="499" spans="14:26" x14ac:dyDescent="0.25">
      <c r="N499" t="str">
        <f t="shared" si="66"/>
        <v/>
      </c>
      <c r="P499" t="e">
        <f t="shared" ca="1" si="70"/>
        <v>#N/A</v>
      </c>
      <c r="Q499" t="e">
        <f t="shared" ca="1" si="65"/>
        <v>#N/A</v>
      </c>
      <c r="S499" t="e">
        <f t="shared" ca="1" si="63"/>
        <v>#N/A</v>
      </c>
      <c r="T499" t="e">
        <f t="shared" ca="1" si="64"/>
        <v>#N/A</v>
      </c>
      <c r="V499" t="str">
        <f t="shared" ca="1" si="67"/>
        <v/>
      </c>
      <c r="Y499" t="e">
        <f t="shared" si="68"/>
        <v>#N/A</v>
      </c>
      <c r="Z499" t="e">
        <f t="shared" ca="1" si="69"/>
        <v>#N/A</v>
      </c>
    </row>
    <row r="500" spans="14:26" x14ac:dyDescent="0.25">
      <c r="N500" t="str">
        <f t="shared" si="66"/>
        <v/>
      </c>
      <c r="P500" t="e">
        <f t="shared" ca="1" si="70"/>
        <v>#N/A</v>
      </c>
      <c r="Q500" t="e">
        <f t="shared" ca="1" si="65"/>
        <v>#N/A</v>
      </c>
      <c r="S500" t="e">
        <f t="shared" ca="1" si="63"/>
        <v>#N/A</v>
      </c>
      <c r="T500" t="e">
        <f t="shared" ca="1" si="64"/>
        <v>#N/A</v>
      </c>
      <c r="V500" t="str">
        <f t="shared" ca="1" si="67"/>
        <v/>
      </c>
      <c r="Y500" t="e">
        <f t="shared" si="68"/>
        <v>#N/A</v>
      </c>
      <c r="Z500" t="e">
        <f t="shared" ca="1" si="69"/>
        <v>#N/A</v>
      </c>
    </row>
  </sheetData>
  <sortState xmlns:xlrd2="http://schemas.microsoft.com/office/spreadsheetml/2017/richdata2" ref="G7:J143">
    <sortCondition ref="I7:I143"/>
  </sortState>
  <mergeCells count="2">
    <mergeCell ref="P4:Q4"/>
    <mergeCell ref="S4:T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Resampling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Kai Kuck</cp:lastModifiedBy>
  <dcterms:created xsi:type="dcterms:W3CDTF">2026-01-12T18:35:45Z</dcterms:created>
  <dcterms:modified xsi:type="dcterms:W3CDTF">2026-01-12T21:17:42Z</dcterms:modified>
</cp:coreProperties>
</file>