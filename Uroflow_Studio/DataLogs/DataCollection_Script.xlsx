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isDir\Dropbox\K0_Work\00_Elbeon\Elbeon_SkunkWorxx\UrineFlowmeter\0_Github\uroflowmetry\Uroflow_Studio\DataLogs\"/>
    </mc:Choice>
  </mc:AlternateContent>
  <xr:revisionPtr revIDLastSave="0" documentId="13_ncr:1_{FFEA31AD-6A1D-4A2B-BD28-F9A1B413206B}" xr6:coauthVersionLast="47" xr6:coauthVersionMax="47" xr10:uidLastSave="{00000000-0000-0000-0000-000000000000}"/>
  <bookViews>
    <workbookView xWindow="-90" yWindow="-90" windowWidth="19380" windowHeight="11460" xr2:uid="{48EE5A5A-7731-45C2-A63D-89AF56AD5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" l="1"/>
  <c r="J33" i="1"/>
  <c r="K32" i="1"/>
  <c r="J32" i="1"/>
  <c r="K31" i="1"/>
  <c r="J31" i="1"/>
  <c r="K28" i="1"/>
  <c r="J28" i="1"/>
  <c r="K27" i="1"/>
  <c r="J27" i="1"/>
  <c r="K26" i="1"/>
  <c r="J26" i="1"/>
  <c r="K23" i="1"/>
  <c r="J23" i="1"/>
  <c r="K22" i="1"/>
  <c r="J22" i="1"/>
  <c r="K21" i="1"/>
  <c r="J21" i="1"/>
  <c r="K18" i="1"/>
  <c r="J18" i="1"/>
  <c r="K17" i="1"/>
  <c r="J17" i="1"/>
  <c r="K16" i="1"/>
  <c r="J16" i="1"/>
  <c r="J13" i="1"/>
  <c r="K13" i="1" s="1"/>
  <c r="J12" i="1"/>
  <c r="K12" i="1" s="1"/>
  <c r="J11" i="1"/>
  <c r="K11" i="1" s="1"/>
  <c r="J8" i="1"/>
  <c r="K8" i="1" s="1"/>
  <c r="J6" i="1"/>
  <c r="K6" i="1"/>
  <c r="J7" i="1" s="1"/>
  <c r="K7" i="1" s="1"/>
</calcChain>
</file>

<file path=xl/sharedStrings.xml><?xml version="1.0" encoding="utf-8"?>
<sst xmlns="http://schemas.openxmlformats.org/spreadsheetml/2006/main" count="63" uniqueCount="16">
  <si>
    <t>Normal Breathing</t>
  </si>
  <si>
    <t>Metronome Breathing</t>
  </si>
  <si>
    <t>No Breathing</t>
  </si>
  <si>
    <t>No Movement</t>
  </si>
  <si>
    <t>Zero Flow</t>
  </si>
  <si>
    <t>Medium Flow</t>
  </si>
  <si>
    <t>High Flow</t>
  </si>
  <si>
    <t>Movement</t>
  </si>
  <si>
    <t>from</t>
  </si>
  <si>
    <t>to</t>
  </si>
  <si>
    <t>Data Collection:</t>
  </si>
  <si>
    <t>Pause:</t>
  </si>
  <si>
    <t>sec</t>
  </si>
  <si>
    <t>ZeroFlow</t>
  </si>
  <si>
    <t>HighFlow</t>
  </si>
  <si>
    <t>MediumFlow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</si>
</sst>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E84-1A4E-4F2A-9CB4-3C6C7A557F4A}">
  <dimension ref="F2:L33"/>
  <sheetViews>
    <sheetView showGridLines="0" tabSelected="1" topLeftCell="A6" zoomScaleNormal="100" workbookViewId="0">
      <selection activeCell="L6" sqref="L6"/>
    </sheetView>
  </sheetViews>
  <sheetFormatPr defaultRowHeight="14.75" x14ac:dyDescent="0.75"/>
  <cols>
    <col min="6" max="6" width="23.08984375" customWidth="1"/>
    <col min="7" max="7" width="16.5" style="2" customWidth="1"/>
    <col min="8" max="8" width="11.7265625" style="2" customWidth="1"/>
  </cols>
  <sheetData>
    <row r="2" spans="6:12" x14ac:dyDescent="0.75">
      <c r="I2" s="6" t="s">
        <v>10</v>
      </c>
      <c r="J2" s="7">
        <v>30</v>
      </c>
      <c r="K2" t="s">
        <v>12</v>
      </c>
    </row>
    <row r="3" spans="6:12" x14ac:dyDescent="0.75">
      <c r="I3" s="6" t="s">
        <v>11</v>
      </c>
      <c r="J3" s="7">
        <v>15</v>
      </c>
      <c r="K3" t="s">
        <v>12</v>
      </c>
    </row>
    <row r="5" spans="6:12" x14ac:dyDescent="0.75">
      <c r="J5" s="5" t="s">
        <v>8</v>
      </c>
      <c r="K5" s="5" t="s">
        <v>9</v>
      </c>
    </row>
    <row r="6" spans="6:12" x14ac:dyDescent="0.75">
      <c r="F6" t="s">
        <v>1</v>
      </c>
      <c r="G6" s="2" t="s">
        <v>3</v>
      </c>
      <c r="H6" s="2" t="s">
        <v>4</v>
      </c>
      <c r="J6" s="4">
        <f>J3/24/60</f>
        <v>1.0416666666666666E-2</v>
      </c>
      <c r="K6" s="4">
        <f>J6+$J$2/24/60</f>
        <v>3.125E-2</v>
      </c>
      <c r="L6" t="s">
        <v>13</v>
      </c>
    </row>
    <row r="7" spans="6:12" x14ac:dyDescent="0.75">
      <c r="F7" t="s">
        <v>2</v>
      </c>
      <c r="G7" s="2" t="s">
        <v>3</v>
      </c>
      <c r="H7" s="2" t="s">
        <v>4</v>
      </c>
      <c r="J7" s="4">
        <f>K6+$J$3/24/60</f>
        <v>4.1666666666666664E-2</v>
      </c>
      <c r="K7" s="4">
        <f>J7+$J$2/24/60</f>
        <v>6.25E-2</v>
      </c>
    </row>
    <row r="8" spans="6:12" x14ac:dyDescent="0.75">
      <c r="F8" t="s">
        <v>0</v>
      </c>
      <c r="G8" s="2" t="s">
        <v>3</v>
      </c>
      <c r="H8" s="2" t="s">
        <v>4</v>
      </c>
      <c r="J8" s="4">
        <f>K7+$J$3/24/60</f>
        <v>7.2916666666666671E-2</v>
      </c>
      <c r="K8" s="4">
        <f>J8+$J$2/24/60</f>
        <v>9.375E-2</v>
      </c>
    </row>
    <row r="9" spans="6:12" ht="15.5" thickBot="1" x14ac:dyDescent="0.9">
      <c r="F9" s="1"/>
      <c r="G9" s="3"/>
      <c r="H9" s="3"/>
    </row>
    <row r="10" spans="6:12" ht="15.5" thickTop="1" x14ac:dyDescent="0.75"/>
    <row r="11" spans="6:12" x14ac:dyDescent="0.75">
      <c r="F11" t="s">
        <v>1</v>
      </c>
      <c r="G11" s="2" t="s">
        <v>7</v>
      </c>
      <c r="H11" s="2" t="s">
        <v>4</v>
      </c>
      <c r="J11" s="4">
        <f>K8+$J$3/24/60</f>
        <v>0.10416666666666667</v>
      </c>
      <c r="K11" s="4">
        <f>J11+$J$2/24/60</f>
        <v>0.125</v>
      </c>
    </row>
    <row r="12" spans="6:12" x14ac:dyDescent="0.75">
      <c r="F12" t="s">
        <v>2</v>
      </c>
      <c r="G12" s="2" t="s">
        <v>7</v>
      </c>
      <c r="H12" s="2" t="s">
        <v>4</v>
      </c>
      <c r="J12" s="4">
        <f>K11+$J$3/24/60</f>
        <v>0.13541666666666666</v>
      </c>
      <c r="K12" s="4">
        <f>J12+$J$2/24/60</f>
        <v>0.15625</v>
      </c>
    </row>
    <row r="13" spans="6:12" x14ac:dyDescent="0.75">
      <c r="F13" t="s">
        <v>0</v>
      </c>
      <c r="G13" s="2" t="s">
        <v>7</v>
      </c>
      <c r="H13" s="2" t="s">
        <v>4</v>
      </c>
      <c r="J13" s="4">
        <f>K12+$J$3/24/60</f>
        <v>0.16666666666666666</v>
      </c>
      <c r="K13" s="4">
        <f>J13+$J$2/24/60</f>
        <v>0.1875</v>
      </c>
    </row>
    <row r="14" spans="6:12" ht="15.5" thickBot="1" x14ac:dyDescent="0.9">
      <c r="F14" s="1"/>
      <c r="G14" s="3"/>
      <c r="H14" s="3"/>
    </row>
    <row r="15" spans="6:12" ht="15.5" thickTop="1" x14ac:dyDescent="0.75"/>
    <row r="16" spans="6:12" x14ac:dyDescent="0.75">
      <c r="F16" t="s">
        <v>1</v>
      </c>
      <c r="G16" s="2" t="s">
        <v>3</v>
      </c>
      <c r="H16" s="2" t="s">
        <v>6</v>
      </c>
      <c r="J16" s="4">
        <f>J6</f>
        <v>1.0416666666666666E-2</v>
      </c>
      <c r="K16" s="4">
        <f>K6</f>
        <v>3.125E-2</v>
      </c>
      <c r="L16" t="s">
        <v>14</v>
      </c>
    </row>
    <row r="17" spans="6:12" x14ac:dyDescent="0.75">
      <c r="F17" t="s">
        <v>2</v>
      </c>
      <c r="G17" s="2" t="s">
        <v>3</v>
      </c>
      <c r="H17" s="2" t="s">
        <v>6</v>
      </c>
      <c r="J17" s="4">
        <f t="shared" ref="J17:K17" si="0">J7</f>
        <v>4.1666666666666664E-2</v>
      </c>
      <c r="K17" s="4">
        <f t="shared" si="0"/>
        <v>6.25E-2</v>
      </c>
    </row>
    <row r="18" spans="6:12" x14ac:dyDescent="0.75">
      <c r="F18" t="s">
        <v>0</v>
      </c>
      <c r="G18" s="2" t="s">
        <v>3</v>
      </c>
      <c r="H18" s="2" t="s">
        <v>6</v>
      </c>
      <c r="J18" s="4">
        <f t="shared" ref="J18:K18" si="1">J8</f>
        <v>7.2916666666666671E-2</v>
      </c>
      <c r="K18" s="4">
        <f t="shared" si="1"/>
        <v>9.375E-2</v>
      </c>
    </row>
    <row r="19" spans="6:12" ht="15.5" thickBot="1" x14ac:dyDescent="0.9">
      <c r="F19" s="1"/>
      <c r="G19" s="3"/>
      <c r="H19" s="3"/>
    </row>
    <row r="20" spans="6:12" ht="15.5" thickTop="1" x14ac:dyDescent="0.75"/>
    <row r="21" spans="6:12" x14ac:dyDescent="0.75">
      <c r="F21" t="s">
        <v>1</v>
      </c>
      <c r="G21" s="2" t="s">
        <v>7</v>
      </c>
      <c r="H21" s="2" t="s">
        <v>6</v>
      </c>
      <c r="J21" s="4">
        <f t="shared" ref="J21:K21" si="2">J11</f>
        <v>0.10416666666666667</v>
      </c>
      <c r="K21" s="4">
        <f t="shared" si="2"/>
        <v>0.125</v>
      </c>
    </row>
    <row r="22" spans="6:12" x14ac:dyDescent="0.75">
      <c r="F22" t="s">
        <v>2</v>
      </c>
      <c r="G22" s="2" t="s">
        <v>7</v>
      </c>
      <c r="H22" s="2" t="s">
        <v>6</v>
      </c>
      <c r="J22" s="4">
        <f t="shared" ref="J22:K22" si="3">J12</f>
        <v>0.13541666666666666</v>
      </c>
      <c r="K22" s="4">
        <f t="shared" si="3"/>
        <v>0.15625</v>
      </c>
    </row>
    <row r="23" spans="6:12" x14ac:dyDescent="0.75">
      <c r="F23" t="s">
        <v>0</v>
      </c>
      <c r="G23" s="2" t="s">
        <v>7</v>
      </c>
      <c r="H23" s="2" t="s">
        <v>6</v>
      </c>
      <c r="J23" s="4">
        <f t="shared" ref="J23:K23" si="4">J13</f>
        <v>0.16666666666666666</v>
      </c>
      <c r="K23" s="4">
        <f t="shared" si="4"/>
        <v>0.1875</v>
      </c>
    </row>
    <row r="24" spans="6:12" ht="15.5" thickBot="1" x14ac:dyDescent="0.9">
      <c r="F24" s="1"/>
      <c r="G24" s="3"/>
      <c r="H24" s="3"/>
    </row>
    <row r="25" spans="6:12" ht="15.5" thickTop="1" x14ac:dyDescent="0.75"/>
    <row r="26" spans="6:12" x14ac:dyDescent="0.75">
      <c r="F26" t="s">
        <v>1</v>
      </c>
      <c r="G26" s="2" t="s">
        <v>3</v>
      </c>
      <c r="H26" s="2" t="s">
        <v>5</v>
      </c>
      <c r="J26" s="4">
        <f>J16</f>
        <v>1.0416666666666666E-2</v>
      </c>
      <c r="K26" s="4">
        <f>K16</f>
        <v>3.125E-2</v>
      </c>
      <c r="L26" t="s">
        <v>15</v>
      </c>
    </row>
    <row r="27" spans="6:12" x14ac:dyDescent="0.75">
      <c r="F27" t="s">
        <v>2</v>
      </c>
      <c r="G27" s="2" t="s">
        <v>3</v>
      </c>
      <c r="H27" s="2" t="s">
        <v>5</v>
      </c>
      <c r="J27" s="4">
        <f t="shared" ref="J27:K27" si="5">J17</f>
        <v>4.1666666666666664E-2</v>
      </c>
      <c r="K27" s="4">
        <f t="shared" si="5"/>
        <v>6.25E-2</v>
      </c>
    </row>
    <row r="28" spans="6:12" x14ac:dyDescent="0.75">
      <c r="F28" t="s">
        <v>0</v>
      </c>
      <c r="G28" s="2" t="s">
        <v>3</v>
      </c>
      <c r="H28" s="2" t="s">
        <v>5</v>
      </c>
      <c r="J28" s="4">
        <f t="shared" ref="J28:K28" si="6">J18</f>
        <v>7.2916666666666671E-2</v>
      </c>
      <c r="K28" s="4">
        <f t="shared" si="6"/>
        <v>9.375E-2</v>
      </c>
    </row>
    <row r="29" spans="6:12" ht="15.5" thickBot="1" x14ac:dyDescent="0.9">
      <c r="F29" s="1"/>
      <c r="G29" s="3"/>
      <c r="H29" s="3"/>
    </row>
    <row r="30" spans="6:12" ht="15.5" thickTop="1" x14ac:dyDescent="0.75"/>
    <row r="31" spans="6:12" x14ac:dyDescent="0.75">
      <c r="F31" t="s">
        <v>1</v>
      </c>
      <c r="G31" s="2" t="s">
        <v>7</v>
      </c>
      <c r="H31" s="2" t="s">
        <v>5</v>
      </c>
      <c r="J31" s="4">
        <f t="shared" ref="J31:K31" si="7">J21</f>
        <v>0.10416666666666667</v>
      </c>
      <c r="K31" s="4">
        <f t="shared" si="7"/>
        <v>0.125</v>
      </c>
    </row>
    <row r="32" spans="6:12" x14ac:dyDescent="0.75">
      <c r="F32" t="s">
        <v>2</v>
      </c>
      <c r="G32" s="2" t="s">
        <v>7</v>
      </c>
      <c r="H32" s="2" t="s">
        <v>5</v>
      </c>
      <c r="J32" s="4">
        <f t="shared" ref="J32:K32" si="8">J22</f>
        <v>0.13541666666666666</v>
      </c>
      <c r="K32" s="4">
        <f t="shared" si="8"/>
        <v>0.15625</v>
      </c>
    </row>
    <row r="33" spans="6:11" x14ac:dyDescent="0.75">
      <c r="F33" t="s">
        <v>0</v>
      </c>
      <c r="G33" s="2" t="s">
        <v>7</v>
      </c>
      <c r="H33" s="2" t="s">
        <v>5</v>
      </c>
      <c r="J33" s="4">
        <f t="shared" ref="J33:K33" si="9">J23</f>
        <v>0.16666666666666666</v>
      </c>
      <c r="K33" s="4">
        <f t="shared" si="9"/>
        <v>0.1875</v>
      </c>
    </row>
  </sheetData>
  <sortState xmlns:xlrd2="http://schemas.microsoft.com/office/spreadsheetml/2017/richdata2" ref="F21:H50">
    <sortCondition ref="H21:H50"/>
    <sortCondition ref="G21:G50"/>
    <sortCondition ref="F21:F50"/>
  </sortState>
  <pageMargins left="0.7" right="0.7" top="0.75" bottom="0.75" header="0.3" footer="0.3"/>
  <pageSetup scale="1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Kuck</dc:creator>
  <cp:lastModifiedBy>Kai Kuck</cp:lastModifiedBy>
  <cp:lastPrinted>2026-02-01T20:08:10Z</cp:lastPrinted>
  <dcterms:created xsi:type="dcterms:W3CDTF">2026-02-01T19:30:36Z</dcterms:created>
  <dcterms:modified xsi:type="dcterms:W3CDTF">2026-02-01T20:30:00Z</dcterms:modified>
</cp:coreProperties>
</file>